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amp; Stats (2.1)" sheetId="1" r:id="rId4"/>
    <sheet state="visible" name="PMF Tables &amp; Charts (2.2)" sheetId="2" r:id="rId5"/>
    <sheet state="visible" name="SOCS Analysis (2.3)" sheetId="3" r:id="rId6"/>
  </sheets>
  <definedNames/>
  <calcPr/>
  <extLst>
    <ext uri="GoogleSheetsCustomDataVersion2">
      <go:sheetsCustomData xmlns:go="http://customooxmlschemas.google.com/" r:id="rId7" roundtripDataChecksum="TlZtXc7gYBY1YNZVXOH4qKA+mipwR4H6S9d6d48DSXY="/>
    </ext>
  </extLst>
</workbook>
</file>

<file path=xl/sharedStrings.xml><?xml version="1.0" encoding="utf-8"?>
<sst xmlns="http://schemas.openxmlformats.org/spreadsheetml/2006/main" count="105" uniqueCount="69">
  <si>
    <t>Task 2- 20-Sample Raw Data | Raleigh-Durham Airport (NOAA GHCN-Daily)</t>
  </si>
  <si>
    <t>#</t>
  </si>
  <si>
    <t>X1 (TMAX °F)</t>
  </si>
  <si>
    <t>X2 (TMIN °F)</t>
  </si>
  <si>
    <t>X3 (PRCP in)</t>
  </si>
  <si>
    <t>X4 (AWND mph)</t>
  </si>
  <si>
    <t>X5 (SNOW in)</t>
  </si>
  <si>
    <t>Y (TAVG °F)</t>
  </si>
  <si>
    <t>Task 2.1 - Descriptive statistics</t>
  </si>
  <si>
    <t>Statistic</t>
  </si>
  <si>
    <t>X1</t>
  </si>
  <si>
    <t>X2</t>
  </si>
  <si>
    <t>X3</t>
  </si>
  <si>
    <t>X4</t>
  </si>
  <si>
    <t>X5</t>
  </si>
  <si>
    <t>Y</t>
  </si>
  <si>
    <t>Mean</t>
  </si>
  <si>
    <t>Median</t>
  </si>
  <si>
    <t>Variance</t>
  </si>
  <si>
    <t>Std Dev</t>
  </si>
  <si>
    <t>Min</t>
  </si>
  <si>
    <t>Max</t>
  </si>
  <si>
    <t>Range</t>
  </si>
  <si>
    <t>Q1 (25%)</t>
  </si>
  <si>
    <t>Q3 (75%)</t>
  </si>
  <si>
    <t>IQR</t>
  </si>
  <si>
    <t>Task 2.2 - PMF Tables (50 Equal Intervals, 20 Samples)</t>
  </si>
  <si>
    <t>Bin Low and High define equal-width intervals spanning min to max of each Xi. P(xi) = Count / 20</t>
  </si>
  <si>
    <t>X1 (TMAX °F) — PMF with 50 Equal Intervals</t>
  </si>
  <si>
    <t>X2 (TMIN °F) — PMF with 50 Equal Intervals</t>
  </si>
  <si>
    <t>X3 (PRCP in) — PMF with 50 Equal Intervals</t>
  </si>
  <si>
    <t>Bin #</t>
  </si>
  <si>
    <t>Bin Low</t>
  </si>
  <si>
    <t>Bin High</t>
  </si>
  <si>
    <t>Count</t>
  </si>
  <si>
    <t>P(xi)</t>
  </si>
  <si>
    <t>X4 (AWND mph) — PMF with 50 Equal Intervals</t>
  </si>
  <si>
    <t>X5 (SNOW in) — PMF with 50 Equal Intervals</t>
  </si>
  <si>
    <t>Task 2.3 - SOCS Analysis Report (Shape, Outliers, Center, Spread)</t>
  </si>
  <si>
    <t>Based on 20-sample descriptive statistics and PMF plots from sheets 1 &amp; 2.</t>
  </si>
  <si>
    <t>X1 - TMAX (Max Daily Temperature °F)</t>
  </si>
  <si>
    <t>Shape</t>
  </si>
  <si>
    <t>The PMF of X1 is roughly symmetric with a slight left skew. Values are spread across a wide range (38–70°F), reflecting January conditions at Raleigh-Durham Airport where temperatures vary significantly day to day. The distribution does not show a sharp single peak, but rather a broad flat shape, indicating high day-to-day variability typical of winter weather patterns.</t>
  </si>
  <si>
    <t>Outliers</t>
  </si>
  <si>
    <t>The value of 79°F on Day 1 is a notable high outlier — it sits well above the mean (51.95°F) and above Q3 (59°F), exceeding the upper fence (Q3 + 1.5×IQR = 59 + 24 = 83°F). While technically within bounds, it represents an unusually warm January day. No values fall below the lower fence (Q1 − 1.5×IQR = 43 − 24 = 19°F). Overall, outlier impact on the analysis is minimal.</t>
  </si>
  <si>
    <t>Center</t>
  </si>
  <si>
    <t>The mean (51.95°F) and median (53°F) are very close, confirming a near-symmetric distribution. The median is slightly higher, indicating the mild left skew from the low outlier at 38°F. Both measures suggest that a typical maximum temperature in this January 2022 sample is around 52–53°F, consistent with Raleigh's mild winter climate.</t>
  </si>
  <si>
    <t>Spread</t>
  </si>
  <si>
    <t>X1 shows the widest spread among the temperature variables. The range is 32°F (38–70°F), IQR is 16°F, and variance is 83.50. This high variability reflects the unpredictable nature of Raleigh winter weather — temperatures can swing significantly between days. The IQR of 16°F means even the middle 50% of days span a wide temperature window, confirming high day-to-day variability in TMAX.</t>
  </si>
  <si>
    <t>X2 - TMIN (Min Daily Temperature °F)</t>
  </si>
  <si>
    <t>X2 is right-skewed. The PMF shows most values concentrated in the low range (21–35°F), with a long right tail extending toward 59°F. This skew is driven by the fact that most January nights in Raleigh are cold, but occasional warm spells produce higher overnight lows. The asymmetry is visible in the PMF where the left bins (cold values) have higher probability than right bins.</t>
  </si>
  <si>
    <t>The value 59°F (Day 2) stands far above the rest of the distribution and is a clear outlier. The upper fence is Q3 + 1.5×IQR = 33.5 + 10.5 = 44°F. Day 2's value of 59°F exceeds this by 15°F, making it a confirmed outlier. This represents an unusually warm overnight low for January, likely associated with the warm front visible on Day 1 (TMAX=79°F). This outlier pulls the mean (30.89°F) above the median (28°F).</t>
  </si>
  <si>
    <t>The mean (30.89°F) is noticeably higher than the median (28°F), a direct consequence of the right-skewed distribution and the outlier at 59°F. The median is the better measure of central tendency here — it tells us that a typical January overnight low in this sample is 28°F. The mean overstates the typical value because it is pulled up by the warm outlier.</t>
  </si>
  <si>
    <t>X2 has a range of 38°F and an IQR of 7°F. The small IQR relative to the range indicates that while extreme values exist (the 59°F outlier), the core of the data is tightly packed. The variance (66.99) is inflated by the outlier. Without the 59°F value, the variance would be significantly lower. This contrast between the tight IQR and wide range/variance highlights how a single outlier can dramatically affect spread measures.</t>
  </si>
  <si>
    <t>X3 - PRCP (Precipitation, inches)</t>
  </si>
  <si>
    <t>X3 is extremely right-skewed with a zero-inflated distribution. In the 20-sample window, 14 out of 20 days had zero precipitation (70%), resulting in a PMF that is dominated entirely by the zero bin. The remaining 6 days had measurable rainfall, with one extreme event (2.29 inches on Day 3). This is the most non-normal distribution in the dataset, resembling a zero-inflated model common in meteorological precipitation data.</t>
  </si>
  <si>
    <t>The value of 2.29 inches (Day 3) is a significant outlier. The upper fence is Q3 + 1.5×IQR = 0.17 + 0.255 = 0.425 inches. Day 3's value is more than 5× this fence, making it a strong outlier representing a heavy rainfall event. Days 16 (1.22 in) and 1 (0.43 in) also lie above the upper fence. These outliers have a large effect on the mean (0.278 in), which is 0.278 while the median is 0 — a dramatic difference demonstrating how outliers distort the mean.</t>
  </si>
  <si>
    <t>The mean (0.278 in) and median (0 in) tell completely different stories. The median correctly captures that the typical day in this sample had no rainfall at all. The mean is misleading as a measure of center here because it is entirely driven by the few rainy days. For skewed, zero-inflated variables like precipitation, the median (or mode = 0) is the only meaningful measure of central tendency.</t>
  </si>
  <si>
    <t>Despite a small mean, X3 has a range of 2.29 inches and IQR of 0.17 inches. The near-zero IQR reflects that the middle 50% of days all had essentially no rain. The variance (0.357) is high relative to the mean, giving a coefficient of variation greater than 1, which is characteristic of highly variable precipitation data. X3's spread is almost entirely driven by rare extreme events rather than day-to-day variation.</t>
  </si>
  <si>
    <t>X4 - AWND (Average Wind Speed, mph)</t>
  </si>
  <si>
    <t>X4 follows a moderately right-skewed distribution. The PMF shows a primary concentration in the 3–8 mph range with a right tail extending toward 14 mph. This shape is typical of wind speed data, which often follows a Weibull or log-normal distribution. The distribution is unimodal, with most days experiencing calm to moderate winds and fewer days with strong winds associated with frontal weather systems.</t>
  </si>
  <si>
    <t>Values of 14.32 (Day 1), 12.30 (Day 16), and 12.97 mph (Day 17) are potential high outliers. The upper fence is Q3 + 1.5×IQR = 8.725 + 7.55 = 16.28 mph. None of the values technically exceed the fence, so there are no confirmed outliers by the IQR rule. However, these high-wind days are associated with the same warm/stormy front visible on Days 1–2 and the precipitation event on Day 16, showing meteorological coherence.</t>
  </si>
  <si>
    <t>The mean (6.64 mph) is higher than the median (5.82 mph), reflecting the mild right skew. The median is a slightly better measure of typical wind speed as it is less influenced by the high-wind outlier candidates. Both values indicate that most days in this sample had calm to light breezes, consistent with typical January conditions in Raleigh when there are no major storm systems present.</t>
  </si>
  <si>
    <t>X4 has a range of 11.4 mph and an IQR of 5.035 mph — the largest IQR relative to the mean among all variables. The variance (11.44) and standard deviation (3.38 mph) reflect moderate variability. Wind speed changes noticeably day-to-day, particularly associated with weather fronts. The relatively large IQR indicates that even the typical (middle 50%) range of wind speeds spans 5 mph, reflecting genuine meteorological variability.</t>
  </si>
  <si>
    <t>X5 - SNOW (Snowfall, inches)</t>
  </si>
  <si>
    <t>X5 has a degenerate distribution in this 20-sample window — all 20 values are exactly 0.00 inches. The PMF is a single spike at zero with probability 1.0. This reflects the reality that Raleigh, NC receives snowfall very rarely, and the specific 20-day January 2022 sample happened to contain no snow events. Over the full 1,477-day dataset, a few snow events do occur, but they are absent here.</t>
  </si>
  <si>
    <t>There are no outliers in X5 for this sample — all values are identical (0.00 inches). Since there is no variance, the IQR fence method cannot identify any outliers. In the context of the full dataset, any non-zero snow value would act as an extreme outlier. The absence of snowfall in this sample limits the usefulness of X5 as an independent variable for predicting Y within this 20-observation window.</t>
  </si>
  <si>
    <t>Both the mean and median are exactly 0.00 inches, making all measures of center identical and uninformative for distinguishing between observations. The mode (0) is the only meaningful descriptor. This degenerate central tendency means X5 contributes no predictive information about Y in this specific 20-sample window — all variance in Y must be explained by X1 through X4 alone.</t>
  </si>
  <si>
    <t>Variance, standard deviation, range, and IQR are all exactly 0.00 for X5 in this sample. There is literally no spread — the variable is a constant. This is the most important limitation of this dataset: X5 provides zero information for statistical analysis within these 20 observations. In the full 1,477-day dataset, snowfall does occur (maximum ~8 inches), and its relationship with Y becomes meaningful only when snow events are included in the sample.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</si>
</sst>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9">
    <font>
      <sz val="11.0"/>
      <color theme="1"/>
      <name val="Calibri"/>
      <scheme val="minor"/>
    </font>
    <font>
      <b/>
      <sz val="14.0"/>
      <color rgb="FF1F4E79"/>
      <name val="Calibri"/>
    </font>
    <font>
      <b/>
      <sz val="11.0"/>
      <color rgb="FFFFFFFF"/>
      <name val="Calibri"/>
    </font>
    <font>
      <b/>
      <sz val="11.0"/>
      <color theme="1"/>
      <name val="Calibri"/>
    </font>
    <font>
      <sz val="11.0"/>
      <color theme="1"/>
      <name val="Calibri"/>
    </font>
    <font>
      <b/>
      <sz val="10.0"/>
      <color theme="1"/>
      <name val="Calibri"/>
    </font>
    <font>
      <i/>
      <sz val="9.0"/>
      <color rgb="FF595959"/>
      <name val="Calibri"/>
    </font>
    <font/>
    <font>
      <sz val="10.0"/>
      <color theme="1"/>
      <name val="Calibri"/>
    </font>
  </fonts>
  <fills count="7">
    <fill>
      <patternFill patternType="none"/>
    </fill>
    <fill>
      <patternFill patternType="lightGray"/>
    </fill>
    <fill>
      <patternFill patternType="solid">
        <fgColor rgb="FF1F4E79"/>
        <bgColor rgb="FF1F4E79"/>
      </patternFill>
    </fill>
    <fill>
      <patternFill patternType="solid">
        <fgColor rgb="FFF2F2F2"/>
        <bgColor rgb="FFF2F2F2"/>
      </patternFill>
    </fill>
    <fill>
      <patternFill patternType="solid">
        <fgColor rgb="FFDDEBF7"/>
        <bgColor rgb="FFDDEBF7"/>
      </patternFill>
    </fill>
    <fill>
      <patternFill patternType="solid">
        <fgColor theme="0"/>
        <bgColor theme="0"/>
      </patternFill>
    </fill>
    <fill>
      <patternFill patternType="solid">
        <fgColor rgb="FFBDD7EE"/>
        <bgColor rgb="FFBDD7EE"/>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xf>
    <xf borderId="1" fillId="3" fontId="3" numFmtId="0" xfId="0" applyAlignment="1" applyBorder="1" applyFill="1" applyFont="1">
      <alignment horizontal="center"/>
    </xf>
    <xf borderId="1" fillId="0" fontId="4" numFmtId="2" xfId="0" applyAlignment="1" applyBorder="1" applyFont="1" applyNumberFormat="1">
      <alignment horizontal="center"/>
    </xf>
    <xf borderId="1" fillId="4" fontId="5" numFmtId="0" xfId="0" applyAlignment="1" applyBorder="1" applyFill="1" applyFont="1">
      <alignment horizontal="right"/>
    </xf>
    <xf borderId="1" fillId="5" fontId="3" numFmtId="2" xfId="0" applyAlignment="1" applyBorder="1" applyFill="1" applyFont="1" applyNumberFormat="1">
      <alignment horizontal="center"/>
    </xf>
    <xf borderId="0" fillId="0" fontId="6" numFmtId="0" xfId="0" applyFont="1"/>
    <xf borderId="2" fillId="2" fontId="2" numFmtId="0" xfId="0" applyAlignment="1" applyBorder="1" applyFont="1">
      <alignment horizontal="center"/>
    </xf>
    <xf borderId="3" fillId="0" fontId="7" numFmtId="0" xfId="0" applyBorder="1" applyFont="1"/>
    <xf borderId="4" fillId="0" fontId="7" numFmtId="0" xfId="0" applyBorder="1" applyFont="1"/>
    <xf borderId="1" fillId="6" fontId="5" numFmtId="0" xfId="0" applyAlignment="1" applyBorder="1" applyFill="1" applyFont="1">
      <alignment horizontal="center"/>
    </xf>
    <xf borderId="1" fillId="0" fontId="4" numFmtId="164" xfId="0" applyAlignment="1" applyBorder="1" applyFont="1" applyNumberFormat="1">
      <alignment horizontal="center"/>
    </xf>
    <xf borderId="2" fillId="2" fontId="2" numFmtId="0" xfId="0" applyAlignment="1" applyBorder="1" applyFont="1">
      <alignment readingOrder="0"/>
    </xf>
    <xf borderId="1" fillId="4" fontId="5" numFmtId="0" xfId="0" applyBorder="1" applyFont="1"/>
    <xf borderId="1" fillId="0" fontId="8"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PMF of X1 (TMAX °F)</a:t>
            </a:r>
          </a:p>
        </c:rich>
      </c:tx>
      <c:overlay val="0"/>
    </c:title>
    <c:plotArea>
      <c:layout/>
      <c:barChart>
        <c:barDir val="col"/>
        <c:ser>
          <c:idx val="0"/>
          <c:order val="0"/>
          <c:tx>
            <c:v>P(X1)</c:v>
          </c:tx>
          <c:spPr>
            <a:solidFill>
              <a:srgbClr val="2E86AB"/>
            </a:solidFill>
            <a:ln cmpd="sng">
              <a:solidFill>
                <a:srgbClr val="000000"/>
              </a:solidFill>
            </a:ln>
          </c:spPr>
          <c:cat>
            <c:strRef>
              <c:f>'PMF Tables &amp; Charts (2.2)'!$B$6:$B$55</c:f>
            </c:strRef>
          </c:cat>
          <c:val>
            <c:numRef>
              <c:f>'PMF Tables &amp; Charts (2.2)'!$E$6:$E$55</c:f>
              <c:numCache/>
            </c:numRef>
          </c:val>
        </c:ser>
        <c:axId val="1742792407"/>
        <c:axId val="1649400875"/>
      </c:barChart>
      <c:catAx>
        <c:axId val="1742792407"/>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X1 Value</a:t>
                </a:r>
              </a:p>
            </c:rich>
          </c:tx>
          <c:overlay val="0"/>
        </c:title>
        <c:numFmt formatCode="General" sourceLinked="1"/>
        <c:majorTickMark val="none"/>
        <c:minorTickMark val="none"/>
        <c:spPr/>
        <c:txPr>
          <a:bodyPr/>
          <a:lstStyle/>
          <a:p>
            <a:pPr lvl="0">
              <a:defRPr b="0">
                <a:solidFill>
                  <a:srgbClr val="000000"/>
                </a:solidFill>
                <a:latin typeface="+mn-lt"/>
              </a:defRPr>
            </a:pPr>
          </a:p>
        </c:txPr>
        <c:crossAx val="1649400875"/>
      </c:catAx>
      <c:valAx>
        <c:axId val="1649400875"/>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Probability P(xi)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2792407"/>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PMF of X2 (TMIN °F)</a:t>
            </a:r>
          </a:p>
        </c:rich>
      </c:tx>
      <c:overlay val="0"/>
    </c:title>
    <c:plotArea>
      <c:layout/>
      <c:barChart>
        <c:barDir val="col"/>
        <c:ser>
          <c:idx val="0"/>
          <c:order val="0"/>
          <c:tx>
            <c:v>P(X2)</c:v>
          </c:tx>
          <c:spPr>
            <a:solidFill>
              <a:srgbClr val="A23B72"/>
            </a:solidFill>
            <a:ln cmpd="sng">
              <a:solidFill>
                <a:srgbClr val="000000"/>
              </a:solidFill>
            </a:ln>
          </c:spPr>
          <c:cat>
            <c:strRef>
              <c:f>'PMF Tables &amp; Charts (2.2)'!$I$6:$I$55</c:f>
            </c:strRef>
          </c:cat>
          <c:val>
            <c:numRef>
              <c:f>'PMF Tables &amp; Charts (2.2)'!$L$6:$L$55</c:f>
              <c:numCache/>
            </c:numRef>
          </c:val>
        </c:ser>
        <c:axId val="1660586621"/>
        <c:axId val="765713745"/>
      </c:barChart>
      <c:catAx>
        <c:axId val="1660586621"/>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X2 Value</a:t>
                </a:r>
              </a:p>
            </c:rich>
          </c:tx>
          <c:overlay val="0"/>
        </c:title>
        <c:numFmt formatCode="General" sourceLinked="1"/>
        <c:majorTickMark val="none"/>
        <c:minorTickMark val="none"/>
        <c:spPr/>
        <c:txPr>
          <a:bodyPr/>
          <a:lstStyle/>
          <a:p>
            <a:pPr lvl="0">
              <a:defRPr b="0">
                <a:solidFill>
                  <a:srgbClr val="000000"/>
                </a:solidFill>
                <a:latin typeface="+mn-lt"/>
              </a:defRPr>
            </a:pPr>
          </a:p>
        </c:txPr>
        <c:crossAx val="765713745"/>
      </c:catAx>
      <c:valAx>
        <c:axId val="765713745"/>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Probability P(xi)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0586621"/>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PMF of X3 (PRCP in)</a:t>
            </a:r>
          </a:p>
        </c:rich>
      </c:tx>
      <c:overlay val="0"/>
    </c:title>
    <c:plotArea>
      <c:layout/>
      <c:barChart>
        <c:barDir val="col"/>
        <c:ser>
          <c:idx val="0"/>
          <c:order val="0"/>
          <c:tx>
            <c:v>P(X3)</c:v>
          </c:tx>
          <c:spPr>
            <a:solidFill>
              <a:srgbClr val="F18F01"/>
            </a:solidFill>
            <a:ln cmpd="sng">
              <a:solidFill>
                <a:srgbClr val="000000"/>
              </a:solidFill>
            </a:ln>
          </c:spPr>
          <c:cat>
            <c:strRef>
              <c:f>'PMF Tables &amp; Charts (2.2)'!$P$6:$P$55</c:f>
            </c:strRef>
          </c:cat>
          <c:val>
            <c:numRef>
              <c:f>'PMF Tables &amp; Charts (2.2)'!$S$6:$S$55</c:f>
              <c:numCache/>
            </c:numRef>
          </c:val>
        </c:ser>
        <c:axId val="1281536832"/>
        <c:axId val="1847214428"/>
      </c:barChart>
      <c:catAx>
        <c:axId val="1281536832"/>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X3 Value</a:t>
                </a:r>
              </a:p>
            </c:rich>
          </c:tx>
          <c:overlay val="0"/>
        </c:title>
        <c:numFmt formatCode="General" sourceLinked="1"/>
        <c:majorTickMark val="none"/>
        <c:minorTickMark val="none"/>
        <c:spPr/>
        <c:txPr>
          <a:bodyPr/>
          <a:lstStyle/>
          <a:p>
            <a:pPr lvl="0">
              <a:defRPr b="0">
                <a:solidFill>
                  <a:srgbClr val="000000"/>
                </a:solidFill>
                <a:latin typeface="+mn-lt"/>
              </a:defRPr>
            </a:pPr>
          </a:p>
        </c:txPr>
        <c:crossAx val="1847214428"/>
      </c:catAx>
      <c:valAx>
        <c:axId val="1847214428"/>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Probability P(xi)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1536832"/>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PMF of X4 (AWND mph)</a:t>
            </a:r>
          </a:p>
        </c:rich>
      </c:tx>
      <c:overlay val="0"/>
    </c:title>
    <c:plotArea>
      <c:layout/>
      <c:barChart>
        <c:barDir val="col"/>
        <c:ser>
          <c:idx val="0"/>
          <c:order val="0"/>
          <c:tx>
            <c:v>P(X4)</c:v>
          </c:tx>
          <c:spPr>
            <a:solidFill>
              <a:srgbClr val="C73E1D"/>
            </a:solidFill>
            <a:ln cmpd="sng">
              <a:solidFill>
                <a:srgbClr val="000000"/>
              </a:solidFill>
            </a:ln>
          </c:spPr>
          <c:cat>
            <c:strRef>
              <c:f>'PMF Tables &amp; Charts (2.2)'!$B$78:$B$127</c:f>
            </c:strRef>
          </c:cat>
          <c:val>
            <c:numRef>
              <c:f>'PMF Tables &amp; Charts (2.2)'!$E$78:$E$127</c:f>
              <c:numCache/>
            </c:numRef>
          </c:val>
        </c:ser>
        <c:axId val="278150891"/>
        <c:axId val="1545294684"/>
      </c:barChart>
      <c:catAx>
        <c:axId val="278150891"/>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X4 Value</a:t>
                </a:r>
              </a:p>
            </c:rich>
          </c:tx>
          <c:overlay val="0"/>
        </c:title>
        <c:numFmt formatCode="General" sourceLinked="1"/>
        <c:majorTickMark val="none"/>
        <c:minorTickMark val="none"/>
        <c:spPr/>
        <c:txPr>
          <a:bodyPr/>
          <a:lstStyle/>
          <a:p>
            <a:pPr lvl="0">
              <a:defRPr b="0">
                <a:solidFill>
                  <a:srgbClr val="000000"/>
                </a:solidFill>
                <a:latin typeface="+mn-lt"/>
              </a:defRPr>
            </a:pPr>
          </a:p>
        </c:txPr>
        <c:crossAx val="1545294684"/>
      </c:catAx>
      <c:valAx>
        <c:axId val="1545294684"/>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Probability P(xi)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8150891"/>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PMF of X5 (SNOW in)</a:t>
            </a:r>
          </a:p>
        </c:rich>
      </c:tx>
      <c:overlay val="0"/>
    </c:title>
    <c:plotArea>
      <c:layout/>
      <c:barChart>
        <c:barDir val="col"/>
        <c:ser>
          <c:idx val="0"/>
          <c:order val="0"/>
          <c:tx>
            <c:v>P(X5)</c:v>
          </c:tx>
          <c:spPr>
            <a:solidFill>
              <a:srgbClr val="3B1F2B"/>
            </a:solidFill>
            <a:ln cmpd="sng">
              <a:solidFill>
                <a:srgbClr val="000000"/>
              </a:solidFill>
            </a:ln>
          </c:spPr>
          <c:cat>
            <c:strRef>
              <c:f>'PMF Tables &amp; Charts (2.2)'!$I$78:$I$127</c:f>
            </c:strRef>
          </c:cat>
          <c:val>
            <c:numRef>
              <c:f>'PMF Tables &amp; Charts (2.2)'!$L$78:$L$127</c:f>
              <c:numCache/>
            </c:numRef>
          </c:val>
        </c:ser>
        <c:axId val="194921357"/>
        <c:axId val="1937010341"/>
      </c:barChart>
      <c:catAx>
        <c:axId val="194921357"/>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X5 Value</a:t>
                </a:r>
              </a:p>
            </c:rich>
          </c:tx>
          <c:overlay val="0"/>
        </c:title>
        <c:numFmt formatCode="General" sourceLinked="1"/>
        <c:majorTickMark val="none"/>
        <c:minorTickMark val="none"/>
        <c:spPr/>
        <c:txPr>
          <a:bodyPr/>
          <a:lstStyle/>
          <a:p>
            <a:pPr lvl="0">
              <a:defRPr b="0">
                <a:solidFill>
                  <a:srgbClr val="000000"/>
                </a:solidFill>
                <a:latin typeface="+mn-lt"/>
              </a:defRPr>
            </a:pPr>
          </a:p>
        </c:txPr>
        <c:crossAx val="1937010341"/>
      </c:catAx>
      <c:valAx>
        <c:axId val="1937010341"/>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Probability P(xi)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921357"/>
      </c:valAx>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57</xdr:row>
      <xdr:rowOff>161925</xdr:rowOff>
    </xdr:from>
    <xdr:ext cx="4000500" cy="2800350"/>
    <xdr:graphicFrame>
      <xdr:nvGraphicFramePr>
        <xdr:cNvPr id="1118797232"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38100</xdr:colOff>
      <xdr:row>57</xdr:row>
      <xdr:rowOff>9525</xdr:rowOff>
    </xdr:from>
    <xdr:ext cx="4000500" cy="2800350"/>
    <xdr:graphicFrame>
      <xdr:nvGraphicFramePr>
        <xdr:cNvPr id="1352160853"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295275</xdr:colOff>
      <xdr:row>57</xdr:row>
      <xdr:rowOff>9525</xdr:rowOff>
    </xdr:from>
    <xdr:ext cx="3829050" cy="2800350"/>
    <xdr:graphicFrame>
      <xdr:nvGraphicFramePr>
        <xdr:cNvPr id="470852528"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128</xdr:row>
      <xdr:rowOff>161925</xdr:rowOff>
    </xdr:from>
    <xdr:ext cx="4000500" cy="2800350"/>
    <xdr:graphicFrame>
      <xdr:nvGraphicFramePr>
        <xdr:cNvPr id="155268635"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38100</xdr:colOff>
      <xdr:row>129</xdr:row>
      <xdr:rowOff>38100</xdr:rowOff>
    </xdr:from>
    <xdr:ext cx="4000500" cy="2800350"/>
    <xdr:graphicFrame>
      <xdr:nvGraphicFramePr>
        <xdr:cNvPr id="282678307"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14.71"/>
    <col customWidth="1" min="8" max="26" width="8.71"/>
  </cols>
  <sheetData>
    <row r="1">
      <c r="A1" s="1" t="s">
        <v>0</v>
      </c>
    </row>
    <row r="2">
      <c r="A2" s="2" t="s">
        <v>1</v>
      </c>
      <c r="B2" s="2" t="s">
        <v>2</v>
      </c>
      <c r="C2" s="2" t="s">
        <v>3</v>
      </c>
      <c r="D2" s="2" t="s">
        <v>4</v>
      </c>
      <c r="E2" s="2" t="s">
        <v>5</v>
      </c>
      <c r="F2" s="2" t="s">
        <v>6</v>
      </c>
      <c r="G2" s="2" t="s">
        <v>7</v>
      </c>
    </row>
    <row r="3">
      <c r="A3" s="3">
        <v>1.0</v>
      </c>
      <c r="B3" s="4">
        <v>79.0</v>
      </c>
      <c r="C3" s="4">
        <v>64.0</v>
      </c>
      <c r="D3" s="4">
        <v>0.43</v>
      </c>
      <c r="E3" s="4">
        <v>14.32</v>
      </c>
      <c r="F3" s="4">
        <v>0.0</v>
      </c>
      <c r="G3" s="4">
        <v>69.0</v>
      </c>
    </row>
    <row r="4">
      <c r="A4" s="3">
        <v>2.0</v>
      </c>
      <c r="B4" s="4">
        <v>70.0</v>
      </c>
      <c r="C4" s="4">
        <v>59.0</v>
      </c>
      <c r="D4" s="4">
        <v>0.81</v>
      </c>
      <c r="E4" s="4">
        <v>11.41</v>
      </c>
      <c r="F4" s="4">
        <v>0.0</v>
      </c>
      <c r="G4" s="4">
        <v>67.0</v>
      </c>
    </row>
    <row r="5">
      <c r="A5" s="3">
        <v>3.0</v>
      </c>
      <c r="B5" s="4">
        <v>60.0</v>
      </c>
      <c r="C5" s="4">
        <v>31.0</v>
      </c>
      <c r="D5" s="4">
        <v>2.29</v>
      </c>
      <c r="E5" s="4">
        <v>10.29</v>
      </c>
      <c r="F5" s="4">
        <v>0.0</v>
      </c>
      <c r="G5" s="4">
        <v>49.0</v>
      </c>
    </row>
    <row r="6">
      <c r="A6" s="3">
        <v>4.0</v>
      </c>
      <c r="B6" s="4">
        <v>44.0</v>
      </c>
      <c r="C6" s="4">
        <v>26.0</v>
      </c>
      <c r="D6" s="4">
        <v>0.0</v>
      </c>
      <c r="E6" s="4">
        <v>3.36</v>
      </c>
      <c r="F6" s="4">
        <v>0.0</v>
      </c>
      <c r="G6" s="4">
        <v>34.0</v>
      </c>
    </row>
    <row r="7">
      <c r="A7" s="3">
        <v>5.0</v>
      </c>
      <c r="B7" s="4">
        <v>59.0</v>
      </c>
      <c r="C7" s="4">
        <v>30.0</v>
      </c>
      <c r="D7" s="4">
        <v>0.0</v>
      </c>
      <c r="E7" s="4">
        <v>4.92</v>
      </c>
      <c r="F7" s="4">
        <v>0.0</v>
      </c>
      <c r="G7" s="4">
        <v>41.0</v>
      </c>
    </row>
    <row r="8">
      <c r="A8" s="3">
        <v>6.0</v>
      </c>
      <c r="B8" s="4">
        <v>59.0</v>
      </c>
      <c r="C8" s="4">
        <v>37.0</v>
      </c>
      <c r="D8" s="4">
        <v>0.0</v>
      </c>
      <c r="E8" s="4">
        <v>4.7</v>
      </c>
      <c r="F8" s="4">
        <v>0.0</v>
      </c>
      <c r="G8" s="4">
        <v>47.0</v>
      </c>
    </row>
    <row r="9">
      <c r="A9" s="3">
        <v>7.0</v>
      </c>
      <c r="B9" s="4">
        <v>52.0</v>
      </c>
      <c r="C9" s="4">
        <v>27.0</v>
      </c>
      <c r="D9" s="4">
        <v>0.0</v>
      </c>
      <c r="E9" s="4">
        <v>8.05</v>
      </c>
      <c r="F9" s="4">
        <v>0.0</v>
      </c>
      <c r="G9" s="4">
        <v>42.0</v>
      </c>
    </row>
    <row r="10">
      <c r="A10" s="3">
        <v>8.0</v>
      </c>
      <c r="B10" s="4">
        <v>42.0</v>
      </c>
      <c r="C10" s="4">
        <v>21.0</v>
      </c>
      <c r="D10" s="4">
        <v>0.0</v>
      </c>
      <c r="E10" s="4">
        <v>3.8</v>
      </c>
      <c r="F10" s="4">
        <v>0.0</v>
      </c>
      <c r="G10" s="4">
        <v>30.0</v>
      </c>
    </row>
    <row r="11">
      <c r="A11" s="3">
        <v>9.0</v>
      </c>
      <c r="B11" s="4">
        <v>66.0</v>
      </c>
      <c r="C11" s="4">
        <v>37.0</v>
      </c>
      <c r="D11" s="4">
        <v>0.62</v>
      </c>
      <c r="E11" s="4">
        <v>9.17</v>
      </c>
      <c r="F11" s="4">
        <v>0.0</v>
      </c>
      <c r="G11" s="4">
        <v>45.0</v>
      </c>
    </row>
    <row r="12">
      <c r="A12" s="3">
        <v>10.0</v>
      </c>
      <c r="B12" s="4">
        <v>53.0</v>
      </c>
      <c r="C12" s="4">
        <v>34.0</v>
      </c>
      <c r="D12" s="4">
        <v>0.0</v>
      </c>
      <c r="E12" s="4">
        <v>5.14</v>
      </c>
      <c r="F12" s="4">
        <v>0.0</v>
      </c>
      <c r="G12" s="4">
        <v>47.0</v>
      </c>
    </row>
    <row r="13">
      <c r="A13" s="3">
        <v>11.0</v>
      </c>
      <c r="B13" s="4">
        <v>41.0</v>
      </c>
      <c r="C13" s="4">
        <v>27.0</v>
      </c>
      <c r="D13" s="4">
        <v>0.0</v>
      </c>
      <c r="E13" s="4">
        <v>3.36</v>
      </c>
      <c r="F13" s="4">
        <v>0.0</v>
      </c>
      <c r="G13" s="4">
        <v>35.0</v>
      </c>
    </row>
    <row r="14">
      <c r="A14" s="3">
        <v>12.0</v>
      </c>
      <c r="B14" s="4">
        <v>53.0</v>
      </c>
      <c r="C14" s="4">
        <v>25.0</v>
      </c>
      <c r="D14" s="4">
        <v>0.0</v>
      </c>
      <c r="E14" s="4">
        <v>6.26</v>
      </c>
      <c r="F14" s="4">
        <v>0.0</v>
      </c>
      <c r="G14" s="4">
        <v>35.0</v>
      </c>
    </row>
    <row r="15">
      <c r="A15" s="3">
        <v>13.0</v>
      </c>
      <c r="B15" s="4">
        <v>53.0</v>
      </c>
      <c r="C15" s="4">
        <v>27.0</v>
      </c>
      <c r="D15" s="4">
        <v>0.0</v>
      </c>
      <c r="E15" s="4">
        <v>1.57</v>
      </c>
      <c r="F15" s="4">
        <v>0.0</v>
      </c>
      <c r="G15" s="4">
        <v>40.0</v>
      </c>
    </row>
    <row r="16">
      <c r="A16" s="3">
        <v>14.0</v>
      </c>
      <c r="B16" s="4">
        <v>56.0</v>
      </c>
      <c r="C16" s="4">
        <v>37.0</v>
      </c>
      <c r="D16" s="4">
        <v>0.0</v>
      </c>
      <c r="E16" s="4">
        <v>3.58</v>
      </c>
      <c r="F16" s="4">
        <v>0.0</v>
      </c>
      <c r="G16" s="4">
        <v>45.0</v>
      </c>
    </row>
    <row r="17">
      <c r="A17" s="3">
        <v>15.0</v>
      </c>
      <c r="B17" s="4">
        <v>40.0</v>
      </c>
      <c r="C17" s="4">
        <v>28.0</v>
      </c>
      <c r="D17" s="4">
        <v>0.0</v>
      </c>
      <c r="E17" s="4">
        <v>5.82</v>
      </c>
      <c r="F17" s="4">
        <v>0.0</v>
      </c>
      <c r="G17" s="4">
        <v>36.0</v>
      </c>
    </row>
    <row r="18">
      <c r="A18" s="3">
        <v>16.0</v>
      </c>
      <c r="B18" s="4">
        <v>38.0</v>
      </c>
      <c r="C18" s="4">
        <v>25.0</v>
      </c>
      <c r="D18" s="4">
        <v>1.22</v>
      </c>
      <c r="E18" s="4">
        <v>12.3</v>
      </c>
      <c r="F18" s="4">
        <v>0.0</v>
      </c>
      <c r="G18" s="4">
        <v>31.0</v>
      </c>
    </row>
    <row r="19">
      <c r="A19" s="3">
        <v>17.0</v>
      </c>
      <c r="B19" s="4">
        <v>42.0</v>
      </c>
      <c r="C19" s="4">
        <v>33.0</v>
      </c>
      <c r="D19" s="4">
        <v>0.0</v>
      </c>
      <c r="E19" s="4">
        <v>12.97</v>
      </c>
      <c r="F19" s="4">
        <v>0.0</v>
      </c>
      <c r="G19" s="4">
        <v>36.0</v>
      </c>
    </row>
    <row r="20">
      <c r="A20" s="3">
        <v>18.0</v>
      </c>
      <c r="B20" s="4">
        <v>49.0</v>
      </c>
      <c r="C20" s="4">
        <v>25.0</v>
      </c>
      <c r="D20" s="4">
        <v>0.0</v>
      </c>
      <c r="E20" s="4">
        <v>3.36</v>
      </c>
      <c r="F20" s="4">
        <v>0.0</v>
      </c>
      <c r="G20" s="4">
        <v>36.0</v>
      </c>
    </row>
    <row r="21" ht="15.75" customHeight="1">
      <c r="A21" s="3">
        <v>19.0</v>
      </c>
      <c r="B21" s="4">
        <v>60.0</v>
      </c>
      <c r="C21" s="4">
        <v>28.0</v>
      </c>
      <c r="D21" s="4">
        <v>0.0</v>
      </c>
      <c r="E21" s="4">
        <v>7.83</v>
      </c>
      <c r="F21" s="4">
        <v>0.0</v>
      </c>
      <c r="G21" s="4">
        <v>40.0</v>
      </c>
    </row>
    <row r="22" ht="15.75" customHeight="1">
      <c r="A22" s="3">
        <v>20.0</v>
      </c>
      <c r="B22" s="4">
        <v>50.0</v>
      </c>
      <c r="C22" s="4">
        <v>30.0</v>
      </c>
      <c r="D22" s="4">
        <v>0.34</v>
      </c>
      <c r="E22" s="4">
        <v>8.28</v>
      </c>
      <c r="F22" s="4">
        <v>0.0</v>
      </c>
      <c r="G22" s="4">
        <v>47.0</v>
      </c>
    </row>
    <row r="23" ht="15.75" customHeight="1"/>
    <row r="24" ht="15.75" customHeight="1">
      <c r="A24" s="1" t="s">
        <v>8</v>
      </c>
    </row>
    <row r="25" ht="15.75" customHeight="1">
      <c r="A25" s="2" t="s">
        <v>9</v>
      </c>
      <c r="B25" s="2" t="s">
        <v>10</v>
      </c>
      <c r="C25" s="2" t="s">
        <v>11</v>
      </c>
      <c r="D25" s="2" t="s">
        <v>12</v>
      </c>
      <c r="E25" s="2" t="s">
        <v>13</v>
      </c>
      <c r="F25" s="2" t="s">
        <v>14</v>
      </c>
      <c r="G25" s="2" t="s">
        <v>15</v>
      </c>
    </row>
    <row r="26" ht="15.75" customHeight="1">
      <c r="A26" s="5" t="s">
        <v>16</v>
      </c>
      <c r="B26" s="6">
        <f t="shared" ref="B26:G26" si="1">AVERAGE(B3:B22)</f>
        <v>53.3</v>
      </c>
      <c r="C26" s="6">
        <f t="shared" si="1"/>
        <v>32.55</v>
      </c>
      <c r="D26" s="6">
        <f t="shared" si="1"/>
        <v>0.2855</v>
      </c>
      <c r="E26" s="6">
        <f t="shared" si="1"/>
        <v>7.0245</v>
      </c>
      <c r="F26" s="6">
        <f t="shared" si="1"/>
        <v>0</v>
      </c>
      <c r="G26" s="6">
        <f t="shared" si="1"/>
        <v>42.6</v>
      </c>
    </row>
    <row r="27" ht="15.75" customHeight="1">
      <c r="A27" s="5" t="s">
        <v>17</v>
      </c>
      <c r="B27" s="6">
        <f t="shared" ref="B27:G27" si="2">MEDIAN(B3:B22)</f>
        <v>53</v>
      </c>
      <c r="C27" s="6">
        <f t="shared" si="2"/>
        <v>29</v>
      </c>
      <c r="D27" s="6">
        <f t="shared" si="2"/>
        <v>0</v>
      </c>
      <c r="E27" s="6">
        <f t="shared" si="2"/>
        <v>6.04</v>
      </c>
      <c r="F27" s="6">
        <f t="shared" si="2"/>
        <v>0</v>
      </c>
      <c r="G27" s="6">
        <f t="shared" si="2"/>
        <v>40.5</v>
      </c>
    </row>
    <row r="28" ht="15.75" customHeight="1">
      <c r="A28" s="5" t="s">
        <v>18</v>
      </c>
      <c r="B28" s="6">
        <f t="shared" ref="B28:G28" si="3">VAR(B3:B22)</f>
        <v>115.6947368</v>
      </c>
      <c r="C28" s="6">
        <f t="shared" si="3"/>
        <v>118.2605263</v>
      </c>
      <c r="D28" s="6">
        <f t="shared" si="3"/>
        <v>0.3391207895</v>
      </c>
      <c r="E28" s="6">
        <f t="shared" si="3"/>
        <v>13.78412079</v>
      </c>
      <c r="F28" s="6">
        <f t="shared" si="3"/>
        <v>0</v>
      </c>
      <c r="G28" s="6">
        <f t="shared" si="3"/>
        <v>106.9894737</v>
      </c>
    </row>
    <row r="29" ht="15.75" customHeight="1">
      <c r="A29" s="5" t="s">
        <v>19</v>
      </c>
      <c r="B29" s="6">
        <f t="shared" ref="B29:G29" si="4">STDEV(B3:B22)</f>
        <v>10.75614879</v>
      </c>
      <c r="C29" s="6">
        <f t="shared" si="4"/>
        <v>10.87476558</v>
      </c>
      <c r="D29" s="6">
        <f t="shared" si="4"/>
        <v>0.5823407847</v>
      </c>
      <c r="E29" s="6">
        <f t="shared" si="4"/>
        <v>3.712697239</v>
      </c>
      <c r="F29" s="6">
        <f t="shared" si="4"/>
        <v>0</v>
      </c>
      <c r="G29" s="6">
        <f t="shared" si="4"/>
        <v>10.34357161</v>
      </c>
    </row>
    <row r="30" ht="15.75" customHeight="1">
      <c r="A30" s="5" t="s">
        <v>20</v>
      </c>
      <c r="B30" s="6">
        <f t="shared" ref="B30:G30" si="5">MIN(B3:B22)</f>
        <v>38</v>
      </c>
      <c r="C30" s="6">
        <f t="shared" si="5"/>
        <v>21</v>
      </c>
      <c r="D30" s="6">
        <f t="shared" si="5"/>
        <v>0</v>
      </c>
      <c r="E30" s="6">
        <f t="shared" si="5"/>
        <v>1.57</v>
      </c>
      <c r="F30" s="6">
        <f t="shared" si="5"/>
        <v>0</v>
      </c>
      <c r="G30" s="6">
        <f t="shared" si="5"/>
        <v>30</v>
      </c>
    </row>
    <row r="31" ht="15.75" customHeight="1">
      <c r="A31" s="5" t="s">
        <v>21</v>
      </c>
      <c r="B31" s="6">
        <f t="shared" ref="B31:G31" si="6">MAX(B3:B22)</f>
        <v>79</v>
      </c>
      <c r="C31" s="6">
        <f t="shared" si="6"/>
        <v>64</v>
      </c>
      <c r="D31" s="6">
        <f t="shared" si="6"/>
        <v>2.29</v>
      </c>
      <c r="E31" s="6">
        <f t="shared" si="6"/>
        <v>14.32</v>
      </c>
      <c r="F31" s="6">
        <f t="shared" si="6"/>
        <v>0</v>
      </c>
      <c r="G31" s="6">
        <f t="shared" si="6"/>
        <v>69</v>
      </c>
    </row>
    <row r="32" ht="15.75" customHeight="1">
      <c r="A32" s="5" t="s">
        <v>22</v>
      </c>
      <c r="B32" s="6">
        <f t="shared" ref="B32:G32" si="7">MAX(B3:B22)-MIN(B3:B22)</f>
        <v>41</v>
      </c>
      <c r="C32" s="6">
        <f t="shared" si="7"/>
        <v>43</v>
      </c>
      <c r="D32" s="6">
        <f t="shared" si="7"/>
        <v>2.29</v>
      </c>
      <c r="E32" s="6">
        <f t="shared" si="7"/>
        <v>12.75</v>
      </c>
      <c r="F32" s="6">
        <f t="shared" si="7"/>
        <v>0</v>
      </c>
      <c r="G32" s="6">
        <f t="shared" si="7"/>
        <v>39</v>
      </c>
    </row>
    <row r="33" ht="15.75" customHeight="1">
      <c r="A33" s="5" t="s">
        <v>23</v>
      </c>
      <c r="B33" s="6">
        <f t="shared" ref="B33:G33" si="8">_xlfn.QUARTILE.INC(B3:B22,1)</f>
        <v>43.5</v>
      </c>
      <c r="C33" s="6">
        <f t="shared" si="8"/>
        <v>26.75</v>
      </c>
      <c r="D33" s="6">
        <f t="shared" si="8"/>
        <v>0</v>
      </c>
      <c r="E33" s="6">
        <f t="shared" si="8"/>
        <v>3.745</v>
      </c>
      <c r="F33" s="6">
        <f t="shared" si="8"/>
        <v>0</v>
      </c>
      <c r="G33" s="6">
        <f t="shared" si="8"/>
        <v>35.75</v>
      </c>
    </row>
    <row r="34" ht="15.75" customHeight="1">
      <c r="A34" s="5" t="s">
        <v>24</v>
      </c>
      <c r="B34" s="6">
        <f t="shared" ref="B34:G34" si="9">_xlfn.QUARTILE.INC(B3:B22,3)</f>
        <v>59.25</v>
      </c>
      <c r="C34" s="6">
        <f t="shared" si="9"/>
        <v>34.75</v>
      </c>
      <c r="D34" s="6">
        <f t="shared" si="9"/>
        <v>0.3625</v>
      </c>
      <c r="E34" s="6">
        <f t="shared" si="9"/>
        <v>9.45</v>
      </c>
      <c r="F34" s="6">
        <f t="shared" si="9"/>
        <v>0</v>
      </c>
      <c r="G34" s="6">
        <f t="shared" si="9"/>
        <v>47</v>
      </c>
    </row>
    <row r="35" ht="15.75" customHeight="1">
      <c r="A35" s="5" t="s">
        <v>25</v>
      </c>
      <c r="B35" s="6">
        <f t="shared" ref="B35:G35" si="10">_xlfn.QUARTILE.INC(B3:B22,3)-_xlfn.QUARTILE.INC(B3:B22,1)</f>
        <v>15.75</v>
      </c>
      <c r="C35" s="6">
        <f t="shared" si="10"/>
        <v>8</v>
      </c>
      <c r="D35" s="6">
        <f t="shared" si="10"/>
        <v>0.3625</v>
      </c>
      <c r="E35" s="6">
        <f t="shared" si="10"/>
        <v>5.705</v>
      </c>
      <c r="F35" s="6">
        <f t="shared" si="10"/>
        <v>0</v>
      </c>
      <c r="G35" s="6">
        <f t="shared" si="10"/>
        <v>11.25</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4:F2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6" width="13.71"/>
    <col customWidth="1" min="7" max="7" width="4.71"/>
    <col customWidth="1" min="8" max="8" width="8.71"/>
    <col customWidth="1" min="9" max="13" width="13.71"/>
    <col customWidth="1" min="14" max="14" width="4.71"/>
    <col customWidth="1" min="15" max="15" width="8.71"/>
    <col customWidth="1" min="16" max="19" width="13.71"/>
    <col customWidth="1" min="20" max="27" width="8.71"/>
  </cols>
  <sheetData>
    <row r="1">
      <c r="A1" s="1" t="s">
        <v>26</v>
      </c>
    </row>
    <row r="2">
      <c r="A2" s="7" t="s">
        <v>27</v>
      </c>
    </row>
    <row r="4">
      <c r="A4" s="8" t="s">
        <v>28</v>
      </c>
      <c r="B4" s="9"/>
      <c r="C4" s="9"/>
      <c r="D4" s="9"/>
      <c r="E4" s="10"/>
      <c r="H4" s="8" t="s">
        <v>29</v>
      </c>
      <c r="I4" s="9"/>
      <c r="J4" s="9"/>
      <c r="K4" s="9"/>
      <c r="L4" s="10"/>
      <c r="O4" s="8" t="s">
        <v>30</v>
      </c>
      <c r="P4" s="9"/>
      <c r="Q4" s="9"/>
      <c r="R4" s="9"/>
      <c r="S4" s="10"/>
    </row>
    <row r="5">
      <c r="A5" s="11" t="s">
        <v>31</v>
      </c>
      <c r="B5" s="11" t="s">
        <v>32</v>
      </c>
      <c r="C5" s="11" t="s">
        <v>33</v>
      </c>
      <c r="D5" s="11" t="s">
        <v>34</v>
      </c>
      <c r="E5" s="11" t="s">
        <v>35</v>
      </c>
      <c r="H5" s="11" t="s">
        <v>31</v>
      </c>
      <c r="I5" s="11" t="s">
        <v>32</v>
      </c>
      <c r="J5" s="11" t="s">
        <v>33</v>
      </c>
      <c r="K5" s="11" t="s">
        <v>34</v>
      </c>
      <c r="L5" s="11" t="s">
        <v>35</v>
      </c>
      <c r="O5" s="11" t="s">
        <v>31</v>
      </c>
      <c r="P5" s="11" t="s">
        <v>32</v>
      </c>
      <c r="Q5" s="11" t="s">
        <v>33</v>
      </c>
      <c r="R5" s="11" t="s">
        <v>34</v>
      </c>
      <c r="S5" s="11" t="s">
        <v>35</v>
      </c>
    </row>
    <row r="6">
      <c r="A6" s="3">
        <v>1.0</v>
      </c>
      <c r="B6" s="12">
        <v>38.0</v>
      </c>
      <c r="C6" s="12">
        <v>38.82</v>
      </c>
      <c r="D6" s="4">
        <v>1.0</v>
      </c>
      <c r="E6" s="12">
        <v>0.05</v>
      </c>
      <c r="H6" s="3">
        <v>1.0</v>
      </c>
      <c r="I6" s="12">
        <v>21.0</v>
      </c>
      <c r="J6" s="12">
        <v>21.86</v>
      </c>
      <c r="K6" s="4">
        <v>1.0</v>
      </c>
      <c r="L6" s="12">
        <v>0.05</v>
      </c>
      <c r="O6" s="3">
        <v>1.0</v>
      </c>
      <c r="P6" s="12">
        <v>0.0</v>
      </c>
      <c r="Q6" s="12">
        <v>0.0458</v>
      </c>
      <c r="R6" s="4">
        <v>14.0</v>
      </c>
      <c r="S6" s="12">
        <v>0.7</v>
      </c>
    </row>
    <row r="7">
      <c r="A7" s="3">
        <v>2.0</v>
      </c>
      <c r="B7" s="12">
        <v>38.82</v>
      </c>
      <c r="C7" s="12">
        <v>39.64</v>
      </c>
      <c r="D7" s="4">
        <v>0.0</v>
      </c>
      <c r="E7" s="12">
        <v>0.0</v>
      </c>
      <c r="H7" s="3">
        <v>2.0</v>
      </c>
      <c r="I7" s="12">
        <v>21.86</v>
      </c>
      <c r="J7" s="12">
        <v>22.72</v>
      </c>
      <c r="K7" s="4">
        <v>0.0</v>
      </c>
      <c r="L7" s="12">
        <v>0.0</v>
      </c>
      <c r="O7" s="3">
        <v>2.0</v>
      </c>
      <c r="P7" s="12">
        <v>0.0458</v>
      </c>
      <c r="Q7" s="12">
        <v>0.0916</v>
      </c>
      <c r="R7" s="4">
        <v>0.0</v>
      </c>
      <c r="S7" s="12">
        <v>0.0</v>
      </c>
    </row>
    <row r="8">
      <c r="A8" s="3">
        <v>3.0</v>
      </c>
      <c r="B8" s="12">
        <v>39.64</v>
      </c>
      <c r="C8" s="12">
        <v>40.46</v>
      </c>
      <c r="D8" s="4">
        <v>1.0</v>
      </c>
      <c r="E8" s="12">
        <v>0.05</v>
      </c>
      <c r="H8" s="3">
        <v>3.0</v>
      </c>
      <c r="I8" s="12">
        <v>22.72</v>
      </c>
      <c r="J8" s="12">
        <v>23.58</v>
      </c>
      <c r="K8" s="4">
        <v>0.0</v>
      </c>
      <c r="L8" s="12">
        <v>0.0</v>
      </c>
      <c r="O8" s="3">
        <v>3.0</v>
      </c>
      <c r="P8" s="12">
        <v>0.0916</v>
      </c>
      <c r="Q8" s="12">
        <v>0.1374</v>
      </c>
      <c r="R8" s="4">
        <v>0.0</v>
      </c>
      <c r="S8" s="12">
        <v>0.0</v>
      </c>
    </row>
    <row r="9">
      <c r="A9" s="3">
        <v>4.0</v>
      </c>
      <c r="B9" s="12">
        <v>40.46</v>
      </c>
      <c r="C9" s="12">
        <v>41.28</v>
      </c>
      <c r="D9" s="4">
        <v>1.0</v>
      </c>
      <c r="E9" s="12">
        <v>0.05</v>
      </c>
      <c r="H9" s="3">
        <v>4.0</v>
      </c>
      <c r="I9" s="12">
        <v>23.58</v>
      </c>
      <c r="J9" s="12">
        <v>24.44</v>
      </c>
      <c r="K9" s="4">
        <v>0.0</v>
      </c>
      <c r="L9" s="12">
        <v>0.0</v>
      </c>
      <c r="O9" s="3">
        <v>4.0</v>
      </c>
      <c r="P9" s="12">
        <v>0.1374</v>
      </c>
      <c r="Q9" s="12">
        <v>0.1832</v>
      </c>
      <c r="R9" s="4">
        <v>0.0</v>
      </c>
      <c r="S9" s="12">
        <v>0.0</v>
      </c>
    </row>
    <row r="10">
      <c r="A10" s="3">
        <v>5.0</v>
      </c>
      <c r="B10" s="12">
        <v>41.28</v>
      </c>
      <c r="C10" s="12">
        <v>42.1</v>
      </c>
      <c r="D10" s="4">
        <v>2.0</v>
      </c>
      <c r="E10" s="12">
        <v>0.1</v>
      </c>
      <c r="H10" s="3">
        <v>5.0</v>
      </c>
      <c r="I10" s="12">
        <v>24.44</v>
      </c>
      <c r="J10" s="12">
        <v>25.3</v>
      </c>
      <c r="K10" s="4">
        <v>3.0</v>
      </c>
      <c r="L10" s="12">
        <v>0.15</v>
      </c>
      <c r="O10" s="3">
        <v>5.0</v>
      </c>
      <c r="P10" s="12">
        <v>0.1832</v>
      </c>
      <c r="Q10" s="12">
        <v>0.229</v>
      </c>
      <c r="R10" s="4">
        <v>0.0</v>
      </c>
      <c r="S10" s="12">
        <v>0.0</v>
      </c>
    </row>
    <row r="11">
      <c r="A11" s="3">
        <v>6.0</v>
      </c>
      <c r="B11" s="12">
        <v>42.1</v>
      </c>
      <c r="C11" s="12">
        <v>42.92</v>
      </c>
      <c r="D11" s="4">
        <v>0.0</v>
      </c>
      <c r="E11" s="12">
        <v>0.0</v>
      </c>
      <c r="H11" s="3">
        <v>6.0</v>
      </c>
      <c r="I11" s="12">
        <v>25.3</v>
      </c>
      <c r="J11" s="12">
        <v>26.16</v>
      </c>
      <c r="K11" s="4">
        <v>1.0</v>
      </c>
      <c r="L11" s="12">
        <v>0.05</v>
      </c>
      <c r="O11" s="3">
        <v>6.0</v>
      </c>
      <c r="P11" s="12">
        <v>0.229</v>
      </c>
      <c r="Q11" s="12">
        <v>0.2748</v>
      </c>
      <c r="R11" s="4">
        <v>0.0</v>
      </c>
      <c r="S11" s="12">
        <v>0.0</v>
      </c>
    </row>
    <row r="12">
      <c r="A12" s="3">
        <v>7.0</v>
      </c>
      <c r="B12" s="12">
        <v>42.92</v>
      </c>
      <c r="C12" s="12">
        <v>43.74</v>
      </c>
      <c r="D12" s="4">
        <v>0.0</v>
      </c>
      <c r="E12" s="12">
        <v>0.0</v>
      </c>
      <c r="H12" s="3">
        <v>7.0</v>
      </c>
      <c r="I12" s="12">
        <v>26.16</v>
      </c>
      <c r="J12" s="12">
        <v>27.02</v>
      </c>
      <c r="K12" s="4">
        <v>3.0</v>
      </c>
      <c r="L12" s="12">
        <v>0.15</v>
      </c>
      <c r="O12" s="3">
        <v>7.0</v>
      </c>
      <c r="P12" s="12">
        <v>0.2748</v>
      </c>
      <c r="Q12" s="12">
        <v>0.3206</v>
      </c>
      <c r="R12" s="4">
        <v>0.0</v>
      </c>
      <c r="S12" s="12">
        <v>0.0</v>
      </c>
    </row>
    <row r="13">
      <c r="A13" s="3">
        <v>8.0</v>
      </c>
      <c r="B13" s="12">
        <v>43.74</v>
      </c>
      <c r="C13" s="12">
        <v>44.56</v>
      </c>
      <c r="D13" s="4">
        <v>1.0</v>
      </c>
      <c r="E13" s="12">
        <v>0.05</v>
      </c>
      <c r="H13" s="3">
        <v>8.0</v>
      </c>
      <c r="I13" s="12">
        <v>27.02</v>
      </c>
      <c r="J13" s="12">
        <v>27.88</v>
      </c>
      <c r="K13" s="4">
        <v>0.0</v>
      </c>
      <c r="L13" s="12">
        <v>0.0</v>
      </c>
      <c r="O13" s="3">
        <v>8.0</v>
      </c>
      <c r="P13" s="12">
        <v>0.3206</v>
      </c>
      <c r="Q13" s="12">
        <v>0.3664</v>
      </c>
      <c r="R13" s="4">
        <v>1.0</v>
      </c>
      <c r="S13" s="12">
        <v>0.05</v>
      </c>
    </row>
    <row r="14">
      <c r="A14" s="3">
        <v>9.0</v>
      </c>
      <c r="B14" s="12">
        <v>44.56</v>
      </c>
      <c r="C14" s="12">
        <v>45.38</v>
      </c>
      <c r="D14" s="4">
        <v>0.0</v>
      </c>
      <c r="E14" s="12">
        <v>0.0</v>
      </c>
      <c r="H14" s="3">
        <v>9.0</v>
      </c>
      <c r="I14" s="12">
        <v>27.88</v>
      </c>
      <c r="J14" s="12">
        <v>28.74</v>
      </c>
      <c r="K14" s="4">
        <v>2.0</v>
      </c>
      <c r="L14" s="12">
        <v>0.1</v>
      </c>
      <c r="O14" s="3">
        <v>9.0</v>
      </c>
      <c r="P14" s="12">
        <v>0.3664</v>
      </c>
      <c r="Q14" s="12">
        <v>0.4122</v>
      </c>
      <c r="R14" s="4">
        <v>0.0</v>
      </c>
      <c r="S14" s="12">
        <v>0.0</v>
      </c>
    </row>
    <row r="15">
      <c r="A15" s="3">
        <v>10.0</v>
      </c>
      <c r="B15" s="12">
        <v>45.38</v>
      </c>
      <c r="C15" s="12">
        <v>46.2</v>
      </c>
      <c r="D15" s="4">
        <v>0.0</v>
      </c>
      <c r="E15" s="12">
        <v>0.0</v>
      </c>
      <c r="H15" s="3">
        <v>10.0</v>
      </c>
      <c r="I15" s="12">
        <v>28.74</v>
      </c>
      <c r="J15" s="12">
        <v>29.6</v>
      </c>
      <c r="K15" s="4">
        <v>0.0</v>
      </c>
      <c r="L15" s="12">
        <v>0.0</v>
      </c>
      <c r="O15" s="3">
        <v>10.0</v>
      </c>
      <c r="P15" s="12">
        <v>0.4122</v>
      </c>
      <c r="Q15" s="12">
        <v>0.458</v>
      </c>
      <c r="R15" s="4">
        <v>1.0</v>
      </c>
      <c r="S15" s="12">
        <v>0.05</v>
      </c>
    </row>
    <row r="16">
      <c r="A16" s="3">
        <v>11.0</v>
      </c>
      <c r="B16" s="12">
        <v>46.2</v>
      </c>
      <c r="C16" s="12">
        <v>47.02</v>
      </c>
      <c r="D16" s="4">
        <v>0.0</v>
      </c>
      <c r="E16" s="12">
        <v>0.0</v>
      </c>
      <c r="H16" s="3">
        <v>11.0</v>
      </c>
      <c r="I16" s="12">
        <v>29.6</v>
      </c>
      <c r="J16" s="12">
        <v>30.46</v>
      </c>
      <c r="K16" s="4">
        <v>2.0</v>
      </c>
      <c r="L16" s="12">
        <v>0.1</v>
      </c>
      <c r="O16" s="3">
        <v>11.0</v>
      </c>
      <c r="P16" s="12">
        <v>0.458</v>
      </c>
      <c r="Q16" s="12">
        <v>0.5038</v>
      </c>
      <c r="R16" s="4">
        <v>0.0</v>
      </c>
      <c r="S16" s="12">
        <v>0.0</v>
      </c>
    </row>
    <row r="17">
      <c r="A17" s="3">
        <v>12.0</v>
      </c>
      <c r="B17" s="12">
        <v>47.02</v>
      </c>
      <c r="C17" s="12">
        <v>47.84</v>
      </c>
      <c r="D17" s="4">
        <v>0.0</v>
      </c>
      <c r="E17" s="12">
        <v>0.0</v>
      </c>
      <c r="H17" s="3">
        <v>12.0</v>
      </c>
      <c r="I17" s="12">
        <v>30.46</v>
      </c>
      <c r="J17" s="12">
        <v>31.32</v>
      </c>
      <c r="K17" s="4">
        <v>1.0</v>
      </c>
      <c r="L17" s="12">
        <v>0.05</v>
      </c>
      <c r="O17" s="3">
        <v>12.0</v>
      </c>
      <c r="P17" s="12">
        <v>0.5038</v>
      </c>
      <c r="Q17" s="12">
        <v>0.5496</v>
      </c>
      <c r="R17" s="4">
        <v>0.0</v>
      </c>
      <c r="S17" s="12">
        <v>0.0</v>
      </c>
    </row>
    <row r="18">
      <c r="A18" s="3">
        <v>13.0</v>
      </c>
      <c r="B18" s="12">
        <v>47.84</v>
      </c>
      <c r="C18" s="12">
        <v>48.66</v>
      </c>
      <c r="D18" s="4">
        <v>0.0</v>
      </c>
      <c r="E18" s="12">
        <v>0.0</v>
      </c>
      <c r="H18" s="3">
        <v>13.0</v>
      </c>
      <c r="I18" s="12">
        <v>31.32</v>
      </c>
      <c r="J18" s="12">
        <v>32.18</v>
      </c>
      <c r="K18" s="4">
        <v>0.0</v>
      </c>
      <c r="L18" s="12">
        <v>0.0</v>
      </c>
      <c r="O18" s="3">
        <v>13.0</v>
      </c>
      <c r="P18" s="12">
        <v>0.5496</v>
      </c>
      <c r="Q18" s="12">
        <v>0.5954</v>
      </c>
      <c r="R18" s="4">
        <v>0.0</v>
      </c>
      <c r="S18" s="12">
        <v>0.0</v>
      </c>
    </row>
    <row r="19">
      <c r="A19" s="3">
        <v>14.0</v>
      </c>
      <c r="B19" s="12">
        <v>48.66</v>
      </c>
      <c r="C19" s="12">
        <v>49.48</v>
      </c>
      <c r="D19" s="4">
        <v>1.0</v>
      </c>
      <c r="E19" s="12">
        <v>0.05</v>
      </c>
      <c r="H19" s="3">
        <v>14.0</v>
      </c>
      <c r="I19" s="12">
        <v>32.18</v>
      </c>
      <c r="J19" s="12">
        <v>33.04</v>
      </c>
      <c r="K19" s="4">
        <v>1.0</v>
      </c>
      <c r="L19" s="12">
        <v>0.05</v>
      </c>
      <c r="O19" s="3">
        <v>14.0</v>
      </c>
      <c r="P19" s="12">
        <v>0.5954</v>
      </c>
      <c r="Q19" s="12">
        <v>0.6412</v>
      </c>
      <c r="R19" s="4">
        <v>1.0</v>
      </c>
      <c r="S19" s="12">
        <v>0.05</v>
      </c>
    </row>
    <row r="20">
      <c r="A20" s="3">
        <v>15.0</v>
      </c>
      <c r="B20" s="12">
        <v>49.48</v>
      </c>
      <c r="C20" s="12">
        <v>50.3</v>
      </c>
      <c r="D20" s="4">
        <v>1.0</v>
      </c>
      <c r="E20" s="12">
        <v>0.05</v>
      </c>
      <c r="H20" s="3">
        <v>15.0</v>
      </c>
      <c r="I20" s="12">
        <v>33.04</v>
      </c>
      <c r="J20" s="12">
        <v>33.9</v>
      </c>
      <c r="K20" s="4">
        <v>0.0</v>
      </c>
      <c r="L20" s="12">
        <v>0.0</v>
      </c>
      <c r="O20" s="3">
        <v>15.0</v>
      </c>
      <c r="P20" s="12">
        <v>0.6412</v>
      </c>
      <c r="Q20" s="12">
        <v>0.687</v>
      </c>
      <c r="R20" s="4">
        <v>0.0</v>
      </c>
      <c r="S20" s="12">
        <v>0.0</v>
      </c>
    </row>
    <row r="21" ht="15.75" customHeight="1">
      <c r="A21" s="3">
        <v>16.0</v>
      </c>
      <c r="B21" s="12">
        <v>50.3</v>
      </c>
      <c r="C21" s="12">
        <v>51.12</v>
      </c>
      <c r="D21" s="4">
        <v>0.0</v>
      </c>
      <c r="E21" s="12">
        <v>0.0</v>
      </c>
      <c r="H21" s="3">
        <v>16.0</v>
      </c>
      <c r="I21" s="12">
        <v>33.9</v>
      </c>
      <c r="J21" s="12">
        <v>34.76</v>
      </c>
      <c r="K21" s="4">
        <v>1.0</v>
      </c>
      <c r="L21" s="12">
        <v>0.05</v>
      </c>
      <c r="O21" s="3">
        <v>16.0</v>
      </c>
      <c r="P21" s="12">
        <v>0.687</v>
      </c>
      <c r="Q21" s="12">
        <v>0.7328</v>
      </c>
      <c r="R21" s="4">
        <v>0.0</v>
      </c>
      <c r="S21" s="12">
        <v>0.0</v>
      </c>
    </row>
    <row r="22" ht="15.75" customHeight="1">
      <c r="A22" s="3">
        <v>17.0</v>
      </c>
      <c r="B22" s="12">
        <v>51.12</v>
      </c>
      <c r="C22" s="12">
        <v>51.94</v>
      </c>
      <c r="D22" s="4">
        <v>0.0</v>
      </c>
      <c r="E22" s="12">
        <v>0.0</v>
      </c>
      <c r="H22" s="3">
        <v>17.0</v>
      </c>
      <c r="I22" s="12">
        <v>34.76</v>
      </c>
      <c r="J22" s="12">
        <v>35.62</v>
      </c>
      <c r="K22" s="4">
        <v>0.0</v>
      </c>
      <c r="L22" s="12">
        <v>0.0</v>
      </c>
      <c r="O22" s="3">
        <v>17.0</v>
      </c>
      <c r="P22" s="12">
        <v>0.7328</v>
      </c>
      <c r="Q22" s="12">
        <v>0.7786</v>
      </c>
      <c r="R22" s="4">
        <v>0.0</v>
      </c>
      <c r="S22" s="12">
        <v>0.0</v>
      </c>
    </row>
    <row r="23" ht="15.75" customHeight="1">
      <c r="A23" s="3">
        <v>18.0</v>
      </c>
      <c r="B23" s="12">
        <v>51.94</v>
      </c>
      <c r="C23" s="12">
        <v>52.76</v>
      </c>
      <c r="D23" s="4">
        <v>1.0</v>
      </c>
      <c r="E23" s="12">
        <v>0.05</v>
      </c>
      <c r="H23" s="3">
        <v>18.0</v>
      </c>
      <c r="I23" s="12">
        <v>35.62</v>
      </c>
      <c r="J23" s="12">
        <v>36.48</v>
      </c>
      <c r="K23" s="4">
        <v>0.0</v>
      </c>
      <c r="L23" s="12">
        <v>0.0</v>
      </c>
      <c r="O23" s="3">
        <v>18.0</v>
      </c>
      <c r="P23" s="12">
        <v>0.7786</v>
      </c>
      <c r="Q23" s="12">
        <v>0.8244</v>
      </c>
      <c r="R23" s="4">
        <v>1.0</v>
      </c>
      <c r="S23" s="12">
        <v>0.05</v>
      </c>
    </row>
    <row r="24" ht="15.75" customHeight="1">
      <c r="A24" s="3">
        <v>19.0</v>
      </c>
      <c r="B24" s="12">
        <v>52.76</v>
      </c>
      <c r="C24" s="12">
        <v>53.58</v>
      </c>
      <c r="D24" s="4">
        <v>3.0</v>
      </c>
      <c r="E24" s="12">
        <v>0.15</v>
      </c>
      <c r="H24" s="3">
        <v>19.0</v>
      </c>
      <c r="I24" s="12">
        <v>36.48</v>
      </c>
      <c r="J24" s="12">
        <v>37.34</v>
      </c>
      <c r="K24" s="4">
        <v>3.0</v>
      </c>
      <c r="L24" s="12">
        <v>0.15</v>
      </c>
      <c r="O24" s="3">
        <v>19.0</v>
      </c>
      <c r="P24" s="12">
        <v>0.8244</v>
      </c>
      <c r="Q24" s="12">
        <v>0.8702</v>
      </c>
      <c r="R24" s="4">
        <v>0.0</v>
      </c>
      <c r="S24" s="12">
        <v>0.0</v>
      </c>
    </row>
    <row r="25" ht="15.75" customHeight="1">
      <c r="A25" s="3">
        <v>20.0</v>
      </c>
      <c r="B25" s="12">
        <v>53.58</v>
      </c>
      <c r="C25" s="12">
        <v>54.4</v>
      </c>
      <c r="D25" s="4">
        <v>0.0</v>
      </c>
      <c r="E25" s="12">
        <v>0.0</v>
      </c>
      <c r="H25" s="3">
        <v>20.0</v>
      </c>
      <c r="I25" s="12">
        <v>37.34</v>
      </c>
      <c r="J25" s="12">
        <v>38.2</v>
      </c>
      <c r="K25" s="4">
        <v>0.0</v>
      </c>
      <c r="L25" s="12">
        <v>0.0</v>
      </c>
      <c r="O25" s="3">
        <v>20.0</v>
      </c>
      <c r="P25" s="12">
        <v>0.8702</v>
      </c>
      <c r="Q25" s="12">
        <v>0.916</v>
      </c>
      <c r="R25" s="4">
        <v>0.0</v>
      </c>
      <c r="S25" s="12">
        <v>0.0</v>
      </c>
    </row>
    <row r="26" ht="15.75" customHeight="1">
      <c r="A26" s="3">
        <v>21.0</v>
      </c>
      <c r="B26" s="12">
        <v>54.4</v>
      </c>
      <c r="C26" s="12">
        <v>55.22</v>
      </c>
      <c r="D26" s="4">
        <v>0.0</v>
      </c>
      <c r="E26" s="12">
        <v>0.0</v>
      </c>
      <c r="H26" s="3">
        <v>21.0</v>
      </c>
      <c r="I26" s="12">
        <v>38.2</v>
      </c>
      <c r="J26" s="12">
        <v>39.06</v>
      </c>
      <c r="K26" s="4">
        <v>0.0</v>
      </c>
      <c r="L26" s="12">
        <v>0.0</v>
      </c>
      <c r="O26" s="3">
        <v>21.0</v>
      </c>
      <c r="P26" s="12">
        <v>0.916</v>
      </c>
      <c r="Q26" s="12">
        <v>0.9618</v>
      </c>
      <c r="R26" s="4">
        <v>0.0</v>
      </c>
      <c r="S26" s="12">
        <v>0.0</v>
      </c>
    </row>
    <row r="27" ht="15.75" customHeight="1">
      <c r="A27" s="3">
        <v>22.0</v>
      </c>
      <c r="B27" s="12">
        <v>55.22</v>
      </c>
      <c r="C27" s="12">
        <v>56.04</v>
      </c>
      <c r="D27" s="4">
        <v>1.0</v>
      </c>
      <c r="E27" s="12">
        <v>0.05</v>
      </c>
      <c r="H27" s="3">
        <v>22.0</v>
      </c>
      <c r="I27" s="12">
        <v>39.06</v>
      </c>
      <c r="J27" s="12">
        <v>39.92</v>
      </c>
      <c r="K27" s="4">
        <v>0.0</v>
      </c>
      <c r="L27" s="12">
        <v>0.0</v>
      </c>
      <c r="O27" s="3">
        <v>22.0</v>
      </c>
      <c r="P27" s="12">
        <v>0.9618</v>
      </c>
      <c r="Q27" s="12">
        <v>1.0076</v>
      </c>
      <c r="R27" s="4">
        <v>0.0</v>
      </c>
      <c r="S27" s="12">
        <v>0.0</v>
      </c>
    </row>
    <row r="28" ht="15.75" customHeight="1">
      <c r="A28" s="3">
        <v>23.0</v>
      </c>
      <c r="B28" s="12">
        <v>56.04</v>
      </c>
      <c r="C28" s="12">
        <v>56.86</v>
      </c>
      <c r="D28" s="4">
        <v>0.0</v>
      </c>
      <c r="E28" s="12">
        <v>0.0</v>
      </c>
      <c r="H28" s="3">
        <v>23.0</v>
      </c>
      <c r="I28" s="12">
        <v>39.92</v>
      </c>
      <c r="J28" s="12">
        <v>40.78</v>
      </c>
      <c r="K28" s="4">
        <v>0.0</v>
      </c>
      <c r="L28" s="12">
        <v>0.0</v>
      </c>
      <c r="O28" s="3">
        <v>23.0</v>
      </c>
      <c r="P28" s="12">
        <v>1.0076</v>
      </c>
      <c r="Q28" s="12">
        <v>1.0534</v>
      </c>
      <c r="R28" s="4">
        <v>0.0</v>
      </c>
      <c r="S28" s="12">
        <v>0.0</v>
      </c>
    </row>
    <row r="29" ht="15.75" customHeight="1">
      <c r="A29" s="3">
        <v>24.0</v>
      </c>
      <c r="B29" s="12">
        <v>56.86</v>
      </c>
      <c r="C29" s="12">
        <v>57.68</v>
      </c>
      <c r="D29" s="4">
        <v>0.0</v>
      </c>
      <c r="E29" s="12">
        <v>0.0</v>
      </c>
      <c r="H29" s="3">
        <v>24.0</v>
      </c>
      <c r="I29" s="12">
        <v>40.78</v>
      </c>
      <c r="J29" s="12">
        <v>41.64</v>
      </c>
      <c r="K29" s="4">
        <v>0.0</v>
      </c>
      <c r="L29" s="12">
        <v>0.0</v>
      </c>
      <c r="O29" s="3">
        <v>24.0</v>
      </c>
      <c r="P29" s="12">
        <v>1.0534</v>
      </c>
      <c r="Q29" s="12">
        <v>1.0992</v>
      </c>
      <c r="R29" s="4">
        <v>0.0</v>
      </c>
      <c r="S29" s="12">
        <v>0.0</v>
      </c>
    </row>
    <row r="30" ht="15.75" customHeight="1">
      <c r="A30" s="3">
        <v>25.0</v>
      </c>
      <c r="B30" s="12">
        <v>57.68</v>
      </c>
      <c r="C30" s="12">
        <v>58.5</v>
      </c>
      <c r="D30" s="4">
        <v>0.0</v>
      </c>
      <c r="E30" s="12">
        <v>0.0</v>
      </c>
      <c r="H30" s="3">
        <v>25.0</v>
      </c>
      <c r="I30" s="12">
        <v>41.64</v>
      </c>
      <c r="J30" s="12">
        <v>42.5</v>
      </c>
      <c r="K30" s="4">
        <v>0.0</v>
      </c>
      <c r="L30" s="12">
        <v>0.0</v>
      </c>
      <c r="O30" s="3">
        <v>25.0</v>
      </c>
      <c r="P30" s="12">
        <v>1.0992</v>
      </c>
      <c r="Q30" s="12">
        <v>1.145</v>
      </c>
      <c r="R30" s="4">
        <v>0.0</v>
      </c>
      <c r="S30" s="12">
        <v>0.0</v>
      </c>
    </row>
    <row r="31" ht="15.75" customHeight="1">
      <c r="A31" s="3">
        <v>26.0</v>
      </c>
      <c r="B31" s="12">
        <v>58.5</v>
      </c>
      <c r="C31" s="12">
        <v>59.32</v>
      </c>
      <c r="D31" s="4">
        <v>2.0</v>
      </c>
      <c r="E31" s="12">
        <v>0.1</v>
      </c>
      <c r="H31" s="3">
        <v>26.0</v>
      </c>
      <c r="I31" s="12">
        <v>42.5</v>
      </c>
      <c r="J31" s="12">
        <v>43.36</v>
      </c>
      <c r="K31" s="4">
        <v>0.0</v>
      </c>
      <c r="L31" s="12">
        <v>0.0</v>
      </c>
      <c r="O31" s="3">
        <v>26.0</v>
      </c>
      <c r="P31" s="12">
        <v>1.145</v>
      </c>
      <c r="Q31" s="12">
        <v>1.1908</v>
      </c>
      <c r="R31" s="4">
        <v>0.0</v>
      </c>
      <c r="S31" s="12">
        <v>0.0</v>
      </c>
    </row>
    <row r="32" ht="15.75" customHeight="1">
      <c r="A32" s="3">
        <v>27.0</v>
      </c>
      <c r="B32" s="12">
        <v>59.32</v>
      </c>
      <c r="C32" s="12">
        <v>60.14</v>
      </c>
      <c r="D32" s="4">
        <v>2.0</v>
      </c>
      <c r="E32" s="12">
        <v>0.1</v>
      </c>
      <c r="H32" s="3">
        <v>27.0</v>
      </c>
      <c r="I32" s="12">
        <v>43.36</v>
      </c>
      <c r="J32" s="12">
        <v>44.22</v>
      </c>
      <c r="K32" s="4">
        <v>0.0</v>
      </c>
      <c r="L32" s="12">
        <v>0.0</v>
      </c>
      <c r="O32" s="3">
        <v>27.0</v>
      </c>
      <c r="P32" s="12">
        <v>1.1908</v>
      </c>
      <c r="Q32" s="12">
        <v>1.2366</v>
      </c>
      <c r="R32" s="4">
        <v>1.0</v>
      </c>
      <c r="S32" s="12">
        <v>0.05</v>
      </c>
    </row>
    <row r="33" ht="15.75" customHeight="1">
      <c r="A33" s="3">
        <v>28.0</v>
      </c>
      <c r="B33" s="12">
        <v>60.14</v>
      </c>
      <c r="C33" s="12">
        <v>60.96</v>
      </c>
      <c r="D33" s="4">
        <v>0.0</v>
      </c>
      <c r="E33" s="12">
        <v>0.0</v>
      </c>
      <c r="H33" s="3">
        <v>28.0</v>
      </c>
      <c r="I33" s="12">
        <v>44.22</v>
      </c>
      <c r="J33" s="12">
        <v>45.08</v>
      </c>
      <c r="K33" s="4">
        <v>0.0</v>
      </c>
      <c r="L33" s="12">
        <v>0.0</v>
      </c>
      <c r="O33" s="3">
        <v>28.0</v>
      </c>
      <c r="P33" s="12">
        <v>1.2366</v>
      </c>
      <c r="Q33" s="12">
        <v>1.2824</v>
      </c>
      <c r="R33" s="4">
        <v>0.0</v>
      </c>
      <c r="S33" s="12">
        <v>0.0</v>
      </c>
    </row>
    <row r="34" ht="15.75" customHeight="1">
      <c r="A34" s="3">
        <v>29.0</v>
      </c>
      <c r="B34" s="12">
        <v>60.96</v>
      </c>
      <c r="C34" s="12">
        <v>61.78</v>
      </c>
      <c r="D34" s="4">
        <v>0.0</v>
      </c>
      <c r="E34" s="12">
        <v>0.0</v>
      </c>
      <c r="H34" s="3">
        <v>29.0</v>
      </c>
      <c r="I34" s="12">
        <v>45.08</v>
      </c>
      <c r="J34" s="12">
        <v>45.94</v>
      </c>
      <c r="K34" s="4">
        <v>0.0</v>
      </c>
      <c r="L34" s="12">
        <v>0.0</v>
      </c>
      <c r="O34" s="3">
        <v>29.0</v>
      </c>
      <c r="P34" s="12">
        <v>1.2824</v>
      </c>
      <c r="Q34" s="12">
        <v>1.3282</v>
      </c>
      <c r="R34" s="4">
        <v>0.0</v>
      </c>
      <c r="S34" s="12">
        <v>0.0</v>
      </c>
    </row>
    <row r="35" ht="15.75" customHeight="1">
      <c r="A35" s="3">
        <v>30.0</v>
      </c>
      <c r="B35" s="12">
        <v>61.78</v>
      </c>
      <c r="C35" s="12">
        <v>62.6</v>
      </c>
      <c r="D35" s="4">
        <v>0.0</v>
      </c>
      <c r="E35" s="12">
        <v>0.0</v>
      </c>
      <c r="H35" s="3">
        <v>30.0</v>
      </c>
      <c r="I35" s="12">
        <v>45.94</v>
      </c>
      <c r="J35" s="12">
        <v>46.8</v>
      </c>
      <c r="K35" s="4">
        <v>0.0</v>
      </c>
      <c r="L35" s="12">
        <v>0.0</v>
      </c>
      <c r="O35" s="3">
        <v>30.0</v>
      </c>
      <c r="P35" s="12">
        <v>1.3282</v>
      </c>
      <c r="Q35" s="12">
        <v>1.374</v>
      </c>
      <c r="R35" s="4">
        <v>0.0</v>
      </c>
      <c r="S35" s="12">
        <v>0.0</v>
      </c>
    </row>
    <row r="36" ht="15.75" customHeight="1">
      <c r="A36" s="3">
        <v>31.0</v>
      </c>
      <c r="B36" s="12">
        <v>62.6</v>
      </c>
      <c r="C36" s="12">
        <v>63.42</v>
      </c>
      <c r="D36" s="4">
        <v>0.0</v>
      </c>
      <c r="E36" s="12">
        <v>0.0</v>
      </c>
      <c r="H36" s="3">
        <v>31.0</v>
      </c>
      <c r="I36" s="12">
        <v>46.8</v>
      </c>
      <c r="J36" s="12">
        <v>47.66</v>
      </c>
      <c r="K36" s="4">
        <v>0.0</v>
      </c>
      <c r="L36" s="12">
        <v>0.0</v>
      </c>
      <c r="O36" s="3">
        <v>31.0</v>
      </c>
      <c r="P36" s="12">
        <v>1.374</v>
      </c>
      <c r="Q36" s="12">
        <v>1.4198</v>
      </c>
      <c r="R36" s="4">
        <v>0.0</v>
      </c>
      <c r="S36" s="12">
        <v>0.0</v>
      </c>
    </row>
    <row r="37" ht="15.75" customHeight="1">
      <c r="A37" s="3">
        <v>32.0</v>
      </c>
      <c r="B37" s="12">
        <v>63.42</v>
      </c>
      <c r="C37" s="12">
        <v>64.24</v>
      </c>
      <c r="D37" s="4">
        <v>0.0</v>
      </c>
      <c r="E37" s="12">
        <v>0.0</v>
      </c>
      <c r="H37" s="3">
        <v>32.0</v>
      </c>
      <c r="I37" s="12">
        <v>47.66</v>
      </c>
      <c r="J37" s="12">
        <v>48.52</v>
      </c>
      <c r="K37" s="4">
        <v>0.0</v>
      </c>
      <c r="L37" s="12">
        <v>0.0</v>
      </c>
      <c r="O37" s="3">
        <v>32.0</v>
      </c>
      <c r="P37" s="12">
        <v>1.4198</v>
      </c>
      <c r="Q37" s="12">
        <v>1.4656</v>
      </c>
      <c r="R37" s="4">
        <v>0.0</v>
      </c>
      <c r="S37" s="12">
        <v>0.0</v>
      </c>
    </row>
    <row r="38" ht="15.75" customHeight="1">
      <c r="A38" s="3">
        <v>33.0</v>
      </c>
      <c r="B38" s="12">
        <v>64.24</v>
      </c>
      <c r="C38" s="12">
        <v>65.06</v>
      </c>
      <c r="D38" s="4">
        <v>0.0</v>
      </c>
      <c r="E38" s="12">
        <v>0.0</v>
      </c>
      <c r="H38" s="3">
        <v>33.0</v>
      </c>
      <c r="I38" s="12">
        <v>48.52</v>
      </c>
      <c r="J38" s="12">
        <v>49.38</v>
      </c>
      <c r="K38" s="4">
        <v>0.0</v>
      </c>
      <c r="L38" s="12">
        <v>0.0</v>
      </c>
      <c r="O38" s="3">
        <v>33.0</v>
      </c>
      <c r="P38" s="12">
        <v>1.4656</v>
      </c>
      <c r="Q38" s="12">
        <v>1.5114</v>
      </c>
      <c r="R38" s="4">
        <v>0.0</v>
      </c>
      <c r="S38" s="12">
        <v>0.0</v>
      </c>
    </row>
    <row r="39" ht="15.75" customHeight="1">
      <c r="A39" s="3">
        <v>34.0</v>
      </c>
      <c r="B39" s="12">
        <v>65.06</v>
      </c>
      <c r="C39" s="12">
        <v>65.88</v>
      </c>
      <c r="D39" s="4">
        <v>0.0</v>
      </c>
      <c r="E39" s="12">
        <v>0.0</v>
      </c>
      <c r="H39" s="3">
        <v>34.0</v>
      </c>
      <c r="I39" s="12">
        <v>49.38</v>
      </c>
      <c r="J39" s="12">
        <v>50.24</v>
      </c>
      <c r="K39" s="4">
        <v>0.0</v>
      </c>
      <c r="L39" s="12">
        <v>0.0</v>
      </c>
      <c r="O39" s="3">
        <v>34.0</v>
      </c>
      <c r="P39" s="12">
        <v>1.5114</v>
      </c>
      <c r="Q39" s="12">
        <v>1.5572</v>
      </c>
      <c r="R39" s="4">
        <v>0.0</v>
      </c>
      <c r="S39" s="12">
        <v>0.0</v>
      </c>
    </row>
    <row r="40" ht="15.75" customHeight="1">
      <c r="A40" s="3">
        <v>35.0</v>
      </c>
      <c r="B40" s="12">
        <v>65.88</v>
      </c>
      <c r="C40" s="12">
        <v>66.7</v>
      </c>
      <c r="D40" s="4">
        <v>1.0</v>
      </c>
      <c r="E40" s="12">
        <v>0.05</v>
      </c>
      <c r="H40" s="3">
        <v>35.0</v>
      </c>
      <c r="I40" s="12">
        <v>50.24</v>
      </c>
      <c r="J40" s="12">
        <v>51.1</v>
      </c>
      <c r="K40" s="4">
        <v>0.0</v>
      </c>
      <c r="L40" s="12">
        <v>0.0</v>
      </c>
      <c r="O40" s="3">
        <v>35.0</v>
      </c>
      <c r="P40" s="12">
        <v>1.5572</v>
      </c>
      <c r="Q40" s="12">
        <v>1.603</v>
      </c>
      <c r="R40" s="4">
        <v>0.0</v>
      </c>
      <c r="S40" s="12">
        <v>0.0</v>
      </c>
    </row>
    <row r="41" ht="15.75" customHeight="1">
      <c r="A41" s="3">
        <v>36.0</v>
      </c>
      <c r="B41" s="12">
        <v>66.7</v>
      </c>
      <c r="C41" s="12">
        <v>67.52</v>
      </c>
      <c r="D41" s="4">
        <v>0.0</v>
      </c>
      <c r="E41" s="12">
        <v>0.0</v>
      </c>
      <c r="H41" s="3">
        <v>36.0</v>
      </c>
      <c r="I41" s="12">
        <v>51.1</v>
      </c>
      <c r="J41" s="12">
        <v>51.96</v>
      </c>
      <c r="K41" s="4">
        <v>0.0</v>
      </c>
      <c r="L41" s="12">
        <v>0.0</v>
      </c>
      <c r="O41" s="3">
        <v>36.0</v>
      </c>
      <c r="P41" s="12">
        <v>1.603</v>
      </c>
      <c r="Q41" s="12">
        <v>1.6488</v>
      </c>
      <c r="R41" s="4">
        <v>0.0</v>
      </c>
      <c r="S41" s="12">
        <v>0.0</v>
      </c>
    </row>
    <row r="42" ht="15.75" customHeight="1">
      <c r="A42" s="3">
        <v>37.0</v>
      </c>
      <c r="B42" s="12">
        <v>67.52</v>
      </c>
      <c r="C42" s="12">
        <v>68.34</v>
      </c>
      <c r="D42" s="4">
        <v>0.0</v>
      </c>
      <c r="E42" s="12">
        <v>0.0</v>
      </c>
      <c r="H42" s="3">
        <v>37.0</v>
      </c>
      <c r="I42" s="12">
        <v>51.96</v>
      </c>
      <c r="J42" s="12">
        <v>52.82</v>
      </c>
      <c r="K42" s="4">
        <v>0.0</v>
      </c>
      <c r="L42" s="12">
        <v>0.0</v>
      </c>
      <c r="O42" s="3">
        <v>37.0</v>
      </c>
      <c r="P42" s="12">
        <v>1.6488</v>
      </c>
      <c r="Q42" s="12">
        <v>1.6946</v>
      </c>
      <c r="R42" s="4">
        <v>0.0</v>
      </c>
      <c r="S42" s="12">
        <v>0.0</v>
      </c>
    </row>
    <row r="43" ht="15.75" customHeight="1">
      <c r="A43" s="3">
        <v>38.0</v>
      </c>
      <c r="B43" s="12">
        <v>68.34</v>
      </c>
      <c r="C43" s="12">
        <v>69.16</v>
      </c>
      <c r="D43" s="4">
        <v>0.0</v>
      </c>
      <c r="E43" s="12">
        <v>0.0</v>
      </c>
      <c r="H43" s="3">
        <v>38.0</v>
      </c>
      <c r="I43" s="12">
        <v>52.82</v>
      </c>
      <c r="J43" s="12">
        <v>53.68</v>
      </c>
      <c r="K43" s="4">
        <v>0.0</v>
      </c>
      <c r="L43" s="12">
        <v>0.0</v>
      </c>
      <c r="O43" s="3">
        <v>38.0</v>
      </c>
      <c r="P43" s="12">
        <v>1.6946</v>
      </c>
      <c r="Q43" s="12">
        <v>1.7404</v>
      </c>
      <c r="R43" s="4">
        <v>0.0</v>
      </c>
      <c r="S43" s="12">
        <v>0.0</v>
      </c>
    </row>
    <row r="44" ht="15.75" customHeight="1">
      <c r="A44" s="3">
        <v>39.0</v>
      </c>
      <c r="B44" s="12">
        <v>69.16</v>
      </c>
      <c r="C44" s="12">
        <v>69.98</v>
      </c>
      <c r="D44" s="4">
        <v>0.0</v>
      </c>
      <c r="E44" s="12">
        <v>0.0</v>
      </c>
      <c r="H44" s="3">
        <v>39.0</v>
      </c>
      <c r="I44" s="12">
        <v>53.68</v>
      </c>
      <c r="J44" s="12">
        <v>54.54</v>
      </c>
      <c r="K44" s="4">
        <v>0.0</v>
      </c>
      <c r="L44" s="12">
        <v>0.0</v>
      </c>
      <c r="O44" s="3">
        <v>39.0</v>
      </c>
      <c r="P44" s="12">
        <v>1.7404</v>
      </c>
      <c r="Q44" s="12">
        <v>1.7862</v>
      </c>
      <c r="R44" s="4">
        <v>0.0</v>
      </c>
      <c r="S44" s="12">
        <v>0.0</v>
      </c>
    </row>
    <row r="45" ht="15.75" customHeight="1">
      <c r="A45" s="3">
        <v>40.0</v>
      </c>
      <c r="B45" s="12">
        <v>69.98</v>
      </c>
      <c r="C45" s="12">
        <v>70.8</v>
      </c>
      <c r="D45" s="4">
        <v>1.0</v>
      </c>
      <c r="E45" s="12">
        <v>0.05</v>
      </c>
      <c r="H45" s="3">
        <v>40.0</v>
      </c>
      <c r="I45" s="12">
        <v>54.54</v>
      </c>
      <c r="J45" s="12">
        <v>55.4</v>
      </c>
      <c r="K45" s="4">
        <v>0.0</v>
      </c>
      <c r="L45" s="12">
        <v>0.0</v>
      </c>
      <c r="O45" s="3">
        <v>40.0</v>
      </c>
      <c r="P45" s="12">
        <v>1.7862</v>
      </c>
      <c r="Q45" s="12">
        <v>1.832</v>
      </c>
      <c r="R45" s="4">
        <v>0.0</v>
      </c>
      <c r="S45" s="12">
        <v>0.0</v>
      </c>
    </row>
    <row r="46" ht="15.75" customHeight="1">
      <c r="A46" s="3">
        <v>41.0</v>
      </c>
      <c r="B46" s="12">
        <v>70.8</v>
      </c>
      <c r="C46" s="12">
        <v>71.62</v>
      </c>
      <c r="D46" s="4">
        <v>0.0</v>
      </c>
      <c r="E46" s="12">
        <v>0.0</v>
      </c>
      <c r="H46" s="3">
        <v>41.0</v>
      </c>
      <c r="I46" s="12">
        <v>55.4</v>
      </c>
      <c r="J46" s="12">
        <v>56.26</v>
      </c>
      <c r="K46" s="4">
        <v>0.0</v>
      </c>
      <c r="L46" s="12">
        <v>0.0</v>
      </c>
      <c r="O46" s="3">
        <v>41.0</v>
      </c>
      <c r="P46" s="12">
        <v>1.832</v>
      </c>
      <c r="Q46" s="12">
        <v>1.8778</v>
      </c>
      <c r="R46" s="4">
        <v>0.0</v>
      </c>
      <c r="S46" s="12">
        <v>0.0</v>
      </c>
    </row>
    <row r="47" ht="15.75" customHeight="1">
      <c r="A47" s="3">
        <v>42.0</v>
      </c>
      <c r="B47" s="12">
        <v>71.62</v>
      </c>
      <c r="C47" s="12">
        <v>72.44</v>
      </c>
      <c r="D47" s="4">
        <v>0.0</v>
      </c>
      <c r="E47" s="12">
        <v>0.0</v>
      </c>
      <c r="H47" s="3">
        <v>42.0</v>
      </c>
      <c r="I47" s="12">
        <v>56.26</v>
      </c>
      <c r="J47" s="12">
        <v>57.12</v>
      </c>
      <c r="K47" s="4">
        <v>0.0</v>
      </c>
      <c r="L47" s="12">
        <v>0.0</v>
      </c>
      <c r="O47" s="3">
        <v>42.0</v>
      </c>
      <c r="P47" s="12">
        <v>1.8778</v>
      </c>
      <c r="Q47" s="12">
        <v>1.9236</v>
      </c>
      <c r="R47" s="4">
        <v>0.0</v>
      </c>
      <c r="S47" s="12">
        <v>0.0</v>
      </c>
    </row>
    <row r="48" ht="15.75" customHeight="1">
      <c r="A48" s="3">
        <v>43.0</v>
      </c>
      <c r="B48" s="12">
        <v>72.44</v>
      </c>
      <c r="C48" s="12">
        <v>73.26</v>
      </c>
      <c r="D48" s="4">
        <v>0.0</v>
      </c>
      <c r="E48" s="12">
        <v>0.0</v>
      </c>
      <c r="H48" s="3">
        <v>43.0</v>
      </c>
      <c r="I48" s="12">
        <v>57.12</v>
      </c>
      <c r="J48" s="12">
        <v>57.98</v>
      </c>
      <c r="K48" s="4">
        <v>0.0</v>
      </c>
      <c r="L48" s="12">
        <v>0.0</v>
      </c>
      <c r="O48" s="3">
        <v>43.0</v>
      </c>
      <c r="P48" s="12">
        <v>1.9236</v>
      </c>
      <c r="Q48" s="12">
        <v>1.9694</v>
      </c>
      <c r="R48" s="4">
        <v>0.0</v>
      </c>
      <c r="S48" s="12">
        <v>0.0</v>
      </c>
    </row>
    <row r="49" ht="15.75" customHeight="1">
      <c r="A49" s="3">
        <v>44.0</v>
      </c>
      <c r="B49" s="12">
        <v>73.26</v>
      </c>
      <c r="C49" s="12">
        <v>74.08</v>
      </c>
      <c r="D49" s="4">
        <v>0.0</v>
      </c>
      <c r="E49" s="12">
        <v>0.0</v>
      </c>
      <c r="H49" s="3">
        <v>44.0</v>
      </c>
      <c r="I49" s="12">
        <v>57.98</v>
      </c>
      <c r="J49" s="12">
        <v>58.84</v>
      </c>
      <c r="K49" s="4">
        <v>0.0</v>
      </c>
      <c r="L49" s="12">
        <v>0.0</v>
      </c>
      <c r="O49" s="3">
        <v>44.0</v>
      </c>
      <c r="P49" s="12">
        <v>1.9694</v>
      </c>
      <c r="Q49" s="12">
        <v>2.0152</v>
      </c>
      <c r="R49" s="4">
        <v>0.0</v>
      </c>
      <c r="S49" s="12">
        <v>0.0</v>
      </c>
    </row>
    <row r="50" ht="15.75" customHeight="1">
      <c r="A50" s="3">
        <v>45.0</v>
      </c>
      <c r="B50" s="12">
        <v>74.08</v>
      </c>
      <c r="C50" s="12">
        <v>74.9</v>
      </c>
      <c r="D50" s="4">
        <v>0.0</v>
      </c>
      <c r="E50" s="12">
        <v>0.0</v>
      </c>
      <c r="H50" s="3">
        <v>45.0</v>
      </c>
      <c r="I50" s="12">
        <v>58.84</v>
      </c>
      <c r="J50" s="12">
        <v>59.7</v>
      </c>
      <c r="K50" s="4">
        <v>1.0</v>
      </c>
      <c r="L50" s="12">
        <v>0.05</v>
      </c>
      <c r="O50" s="3">
        <v>45.0</v>
      </c>
      <c r="P50" s="12">
        <v>2.0152</v>
      </c>
      <c r="Q50" s="12">
        <v>2.061</v>
      </c>
      <c r="R50" s="4">
        <v>0.0</v>
      </c>
      <c r="S50" s="12">
        <v>0.0</v>
      </c>
    </row>
    <row r="51" ht="15.75" customHeight="1">
      <c r="A51" s="3">
        <v>46.0</v>
      </c>
      <c r="B51" s="12">
        <v>74.9</v>
      </c>
      <c r="C51" s="12">
        <v>75.72</v>
      </c>
      <c r="D51" s="4">
        <v>0.0</v>
      </c>
      <c r="E51" s="12">
        <v>0.0</v>
      </c>
      <c r="H51" s="3">
        <v>46.0</v>
      </c>
      <c r="I51" s="12">
        <v>59.7</v>
      </c>
      <c r="J51" s="12">
        <v>60.56</v>
      </c>
      <c r="K51" s="4">
        <v>0.0</v>
      </c>
      <c r="L51" s="12">
        <v>0.0</v>
      </c>
      <c r="O51" s="3">
        <v>46.0</v>
      </c>
      <c r="P51" s="12">
        <v>2.061</v>
      </c>
      <c r="Q51" s="12">
        <v>2.1068</v>
      </c>
      <c r="R51" s="4">
        <v>0.0</v>
      </c>
      <c r="S51" s="12">
        <v>0.0</v>
      </c>
    </row>
    <row r="52" ht="15.75" customHeight="1">
      <c r="A52" s="3">
        <v>47.0</v>
      </c>
      <c r="B52" s="12">
        <v>75.72</v>
      </c>
      <c r="C52" s="12">
        <v>76.54</v>
      </c>
      <c r="D52" s="4">
        <v>0.0</v>
      </c>
      <c r="E52" s="12">
        <v>0.0</v>
      </c>
      <c r="H52" s="3">
        <v>47.0</v>
      </c>
      <c r="I52" s="12">
        <v>60.56</v>
      </c>
      <c r="J52" s="12">
        <v>61.42</v>
      </c>
      <c r="K52" s="4">
        <v>0.0</v>
      </c>
      <c r="L52" s="12">
        <v>0.0</v>
      </c>
      <c r="O52" s="3">
        <v>47.0</v>
      </c>
      <c r="P52" s="12">
        <v>2.1068</v>
      </c>
      <c r="Q52" s="12">
        <v>2.1526</v>
      </c>
      <c r="R52" s="4">
        <v>0.0</v>
      </c>
      <c r="S52" s="12">
        <v>0.0</v>
      </c>
    </row>
    <row r="53" ht="15.75" customHeight="1">
      <c r="A53" s="3">
        <v>48.0</v>
      </c>
      <c r="B53" s="12">
        <v>76.54</v>
      </c>
      <c r="C53" s="12">
        <v>77.36</v>
      </c>
      <c r="D53" s="4">
        <v>0.0</v>
      </c>
      <c r="E53" s="12">
        <v>0.0</v>
      </c>
      <c r="H53" s="3">
        <v>48.0</v>
      </c>
      <c r="I53" s="12">
        <v>61.42</v>
      </c>
      <c r="J53" s="12">
        <v>62.28</v>
      </c>
      <c r="K53" s="4">
        <v>0.0</v>
      </c>
      <c r="L53" s="12">
        <v>0.0</v>
      </c>
      <c r="O53" s="3">
        <v>48.0</v>
      </c>
      <c r="P53" s="12">
        <v>2.1526</v>
      </c>
      <c r="Q53" s="12">
        <v>2.1984</v>
      </c>
      <c r="R53" s="4">
        <v>0.0</v>
      </c>
      <c r="S53" s="12">
        <v>0.0</v>
      </c>
    </row>
    <row r="54" ht="15.75" customHeight="1">
      <c r="A54" s="3">
        <v>49.0</v>
      </c>
      <c r="B54" s="12">
        <v>77.36</v>
      </c>
      <c r="C54" s="12">
        <v>78.18</v>
      </c>
      <c r="D54" s="4">
        <v>0.0</v>
      </c>
      <c r="E54" s="12">
        <v>0.0</v>
      </c>
      <c r="H54" s="3">
        <v>49.0</v>
      </c>
      <c r="I54" s="12">
        <v>62.28</v>
      </c>
      <c r="J54" s="12">
        <v>63.14</v>
      </c>
      <c r="K54" s="4">
        <v>0.0</v>
      </c>
      <c r="L54" s="12">
        <v>0.0</v>
      </c>
      <c r="O54" s="3">
        <v>49.0</v>
      </c>
      <c r="P54" s="12">
        <v>2.1984</v>
      </c>
      <c r="Q54" s="12">
        <v>2.2442</v>
      </c>
      <c r="R54" s="4">
        <v>0.0</v>
      </c>
      <c r="S54" s="12">
        <v>0.0</v>
      </c>
    </row>
    <row r="55" ht="15.75" customHeight="1">
      <c r="A55" s="3">
        <v>50.0</v>
      </c>
      <c r="B55" s="12">
        <v>78.18</v>
      </c>
      <c r="C55" s="12">
        <v>79.0</v>
      </c>
      <c r="D55" s="4">
        <v>1.0</v>
      </c>
      <c r="E55" s="12">
        <v>0.05</v>
      </c>
      <c r="H55" s="3">
        <v>50.0</v>
      </c>
      <c r="I55" s="12">
        <v>63.14</v>
      </c>
      <c r="J55" s="12">
        <v>64.0</v>
      </c>
      <c r="K55" s="4">
        <v>1.0</v>
      </c>
      <c r="L55" s="12">
        <v>0.05</v>
      </c>
      <c r="O55" s="3">
        <v>50.0</v>
      </c>
      <c r="P55" s="12">
        <v>2.2442</v>
      </c>
      <c r="Q55" s="12">
        <v>2.29</v>
      </c>
      <c r="R55" s="4">
        <v>1.0</v>
      </c>
      <c r="S55" s="12">
        <v>0.05</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c r="A76" s="8" t="s">
        <v>36</v>
      </c>
      <c r="B76" s="9"/>
      <c r="C76" s="9"/>
      <c r="D76" s="9"/>
      <c r="E76" s="10"/>
      <c r="H76" s="8" t="s">
        <v>37</v>
      </c>
      <c r="I76" s="9"/>
      <c r="J76" s="9"/>
      <c r="K76" s="9"/>
      <c r="L76" s="10"/>
    </row>
    <row r="77" ht="15.75" customHeight="1">
      <c r="A77" s="11" t="s">
        <v>31</v>
      </c>
      <c r="B77" s="11" t="s">
        <v>32</v>
      </c>
      <c r="C77" s="11" t="s">
        <v>33</v>
      </c>
      <c r="D77" s="11" t="s">
        <v>34</v>
      </c>
      <c r="E77" s="11" t="s">
        <v>35</v>
      </c>
      <c r="H77" s="11" t="s">
        <v>31</v>
      </c>
      <c r="I77" s="11" t="s">
        <v>32</v>
      </c>
      <c r="J77" s="11" t="s">
        <v>33</v>
      </c>
      <c r="K77" s="11" t="s">
        <v>34</v>
      </c>
      <c r="L77" s="11" t="s">
        <v>35</v>
      </c>
    </row>
    <row r="78" ht="15.75" customHeight="1">
      <c r="A78" s="3">
        <v>1.0</v>
      </c>
      <c r="B78" s="12">
        <v>1.57</v>
      </c>
      <c r="C78" s="12">
        <v>1.825</v>
      </c>
      <c r="D78" s="4">
        <v>1.0</v>
      </c>
      <c r="E78" s="12">
        <v>0.05</v>
      </c>
      <c r="H78" s="3">
        <v>1.0</v>
      </c>
      <c r="I78" s="12">
        <v>0.0</v>
      </c>
      <c r="J78" s="12">
        <v>0.0</v>
      </c>
      <c r="K78" s="4">
        <v>20.0</v>
      </c>
      <c r="L78" s="12">
        <v>1.0</v>
      </c>
    </row>
    <row r="79" ht="15.75" customHeight="1">
      <c r="A79" s="3">
        <v>2.0</v>
      </c>
      <c r="B79" s="12">
        <v>1.825</v>
      </c>
      <c r="C79" s="12">
        <v>2.08</v>
      </c>
      <c r="D79" s="4">
        <v>0.0</v>
      </c>
      <c r="E79" s="12">
        <v>0.0</v>
      </c>
      <c r="H79" s="3">
        <v>2.0</v>
      </c>
      <c r="I79" s="12">
        <v>0.0</v>
      </c>
      <c r="J79" s="12">
        <v>0.0</v>
      </c>
      <c r="K79" s="4">
        <v>0.0</v>
      </c>
      <c r="L79" s="12">
        <v>0.0</v>
      </c>
    </row>
    <row r="80" ht="15.75" customHeight="1">
      <c r="A80" s="3">
        <v>3.0</v>
      </c>
      <c r="B80" s="12">
        <v>2.08</v>
      </c>
      <c r="C80" s="12">
        <v>2.335</v>
      </c>
      <c r="D80" s="4">
        <v>0.0</v>
      </c>
      <c r="E80" s="12">
        <v>0.0</v>
      </c>
      <c r="H80" s="3">
        <v>3.0</v>
      </c>
      <c r="I80" s="12">
        <v>0.0</v>
      </c>
      <c r="J80" s="12">
        <v>0.0</v>
      </c>
      <c r="K80" s="4">
        <v>0.0</v>
      </c>
      <c r="L80" s="12">
        <v>0.0</v>
      </c>
    </row>
    <row r="81" ht="15.75" customHeight="1">
      <c r="A81" s="3">
        <v>4.0</v>
      </c>
      <c r="B81" s="12">
        <v>2.335</v>
      </c>
      <c r="C81" s="12">
        <v>2.59</v>
      </c>
      <c r="D81" s="4">
        <v>0.0</v>
      </c>
      <c r="E81" s="12">
        <v>0.0</v>
      </c>
      <c r="H81" s="3">
        <v>4.0</v>
      </c>
      <c r="I81" s="12">
        <v>0.0</v>
      </c>
      <c r="J81" s="12">
        <v>0.0</v>
      </c>
      <c r="K81" s="4">
        <v>0.0</v>
      </c>
      <c r="L81" s="12">
        <v>0.0</v>
      </c>
    </row>
    <row r="82" ht="15.75" customHeight="1">
      <c r="A82" s="3">
        <v>5.0</v>
      </c>
      <c r="B82" s="12">
        <v>2.59</v>
      </c>
      <c r="C82" s="12">
        <v>2.845</v>
      </c>
      <c r="D82" s="4">
        <v>0.0</v>
      </c>
      <c r="E82" s="12">
        <v>0.0</v>
      </c>
      <c r="H82" s="3">
        <v>5.0</v>
      </c>
      <c r="I82" s="12">
        <v>0.0</v>
      </c>
      <c r="J82" s="12">
        <v>0.0</v>
      </c>
      <c r="K82" s="4">
        <v>0.0</v>
      </c>
      <c r="L82" s="12">
        <v>0.0</v>
      </c>
    </row>
    <row r="83" ht="15.75" customHeight="1">
      <c r="A83" s="3">
        <v>6.0</v>
      </c>
      <c r="B83" s="12">
        <v>2.845</v>
      </c>
      <c r="C83" s="12">
        <v>3.1</v>
      </c>
      <c r="D83" s="4">
        <v>0.0</v>
      </c>
      <c r="E83" s="12">
        <v>0.0</v>
      </c>
      <c r="H83" s="3">
        <v>6.0</v>
      </c>
      <c r="I83" s="12">
        <v>0.0</v>
      </c>
      <c r="J83" s="12">
        <v>0.0</v>
      </c>
      <c r="K83" s="4">
        <v>0.0</v>
      </c>
      <c r="L83" s="12">
        <v>0.0</v>
      </c>
    </row>
    <row r="84" ht="15.75" customHeight="1">
      <c r="A84" s="3">
        <v>7.0</v>
      </c>
      <c r="B84" s="12">
        <v>3.1</v>
      </c>
      <c r="C84" s="12">
        <v>3.355</v>
      </c>
      <c r="D84" s="4">
        <v>0.0</v>
      </c>
      <c r="E84" s="12">
        <v>0.0</v>
      </c>
      <c r="H84" s="3">
        <v>7.0</v>
      </c>
      <c r="I84" s="12">
        <v>0.0</v>
      </c>
      <c r="J84" s="12">
        <v>0.0</v>
      </c>
      <c r="K84" s="4">
        <v>0.0</v>
      </c>
      <c r="L84" s="12">
        <v>0.0</v>
      </c>
    </row>
    <row r="85" ht="15.75" customHeight="1">
      <c r="A85" s="3">
        <v>8.0</v>
      </c>
      <c r="B85" s="12">
        <v>3.355</v>
      </c>
      <c r="C85" s="12">
        <v>3.61</v>
      </c>
      <c r="D85" s="4">
        <v>4.0</v>
      </c>
      <c r="E85" s="12">
        <v>0.2</v>
      </c>
      <c r="H85" s="3">
        <v>8.0</v>
      </c>
      <c r="I85" s="12">
        <v>0.0</v>
      </c>
      <c r="J85" s="12">
        <v>0.0</v>
      </c>
      <c r="K85" s="4">
        <v>0.0</v>
      </c>
      <c r="L85" s="12">
        <v>0.0</v>
      </c>
    </row>
    <row r="86" ht="15.75" customHeight="1">
      <c r="A86" s="3">
        <v>9.0</v>
      </c>
      <c r="B86" s="12">
        <v>3.61</v>
      </c>
      <c r="C86" s="12">
        <v>3.865</v>
      </c>
      <c r="D86" s="4">
        <v>1.0</v>
      </c>
      <c r="E86" s="12">
        <v>0.05</v>
      </c>
      <c r="H86" s="3">
        <v>9.0</v>
      </c>
      <c r="I86" s="12">
        <v>0.0</v>
      </c>
      <c r="J86" s="12">
        <v>0.0</v>
      </c>
      <c r="K86" s="4">
        <v>0.0</v>
      </c>
      <c r="L86" s="12">
        <v>0.0</v>
      </c>
    </row>
    <row r="87" ht="15.75" customHeight="1">
      <c r="A87" s="3">
        <v>10.0</v>
      </c>
      <c r="B87" s="12">
        <v>3.865</v>
      </c>
      <c r="C87" s="12">
        <v>4.12</v>
      </c>
      <c r="D87" s="4">
        <v>0.0</v>
      </c>
      <c r="E87" s="12">
        <v>0.0</v>
      </c>
      <c r="H87" s="3">
        <v>10.0</v>
      </c>
      <c r="I87" s="12">
        <v>0.0</v>
      </c>
      <c r="J87" s="12">
        <v>0.0</v>
      </c>
      <c r="K87" s="4">
        <v>0.0</v>
      </c>
      <c r="L87" s="12">
        <v>0.0</v>
      </c>
    </row>
    <row r="88" ht="15.75" customHeight="1">
      <c r="A88" s="3">
        <v>11.0</v>
      </c>
      <c r="B88" s="12">
        <v>4.12</v>
      </c>
      <c r="C88" s="12">
        <v>4.375</v>
      </c>
      <c r="D88" s="4">
        <v>0.0</v>
      </c>
      <c r="E88" s="12">
        <v>0.0</v>
      </c>
      <c r="H88" s="3">
        <v>11.0</v>
      </c>
      <c r="I88" s="12">
        <v>0.0</v>
      </c>
      <c r="J88" s="12">
        <v>0.0</v>
      </c>
      <c r="K88" s="4">
        <v>0.0</v>
      </c>
      <c r="L88" s="12">
        <v>0.0</v>
      </c>
    </row>
    <row r="89" ht="15.75" customHeight="1">
      <c r="A89" s="3">
        <v>12.0</v>
      </c>
      <c r="B89" s="12">
        <v>4.375</v>
      </c>
      <c r="C89" s="12">
        <v>4.63</v>
      </c>
      <c r="D89" s="4">
        <v>0.0</v>
      </c>
      <c r="E89" s="12">
        <v>0.0</v>
      </c>
      <c r="H89" s="3">
        <v>12.0</v>
      </c>
      <c r="I89" s="12">
        <v>0.0</v>
      </c>
      <c r="J89" s="12">
        <v>0.0</v>
      </c>
      <c r="K89" s="4">
        <v>0.0</v>
      </c>
      <c r="L89" s="12">
        <v>0.0</v>
      </c>
    </row>
    <row r="90" ht="15.75" customHeight="1">
      <c r="A90" s="3">
        <v>13.0</v>
      </c>
      <c r="B90" s="12">
        <v>4.63</v>
      </c>
      <c r="C90" s="12">
        <v>4.885</v>
      </c>
      <c r="D90" s="4">
        <v>1.0</v>
      </c>
      <c r="E90" s="12">
        <v>0.05</v>
      </c>
      <c r="H90" s="3">
        <v>13.0</v>
      </c>
      <c r="I90" s="12">
        <v>0.0</v>
      </c>
      <c r="J90" s="12">
        <v>0.0</v>
      </c>
      <c r="K90" s="4">
        <v>0.0</v>
      </c>
      <c r="L90" s="12">
        <v>0.0</v>
      </c>
    </row>
    <row r="91" ht="15.75" customHeight="1">
      <c r="A91" s="3">
        <v>14.0</v>
      </c>
      <c r="B91" s="12">
        <v>4.885</v>
      </c>
      <c r="C91" s="12">
        <v>5.14</v>
      </c>
      <c r="D91" s="4">
        <v>2.0</v>
      </c>
      <c r="E91" s="12">
        <v>0.1</v>
      </c>
      <c r="H91" s="3">
        <v>14.0</v>
      </c>
      <c r="I91" s="12">
        <v>0.0</v>
      </c>
      <c r="J91" s="12">
        <v>0.0</v>
      </c>
      <c r="K91" s="4">
        <v>0.0</v>
      </c>
      <c r="L91" s="12">
        <v>0.0</v>
      </c>
    </row>
    <row r="92" ht="15.75" customHeight="1">
      <c r="A92" s="3">
        <v>15.0</v>
      </c>
      <c r="B92" s="12">
        <v>5.14</v>
      </c>
      <c r="C92" s="12">
        <v>5.395</v>
      </c>
      <c r="D92" s="4">
        <v>0.0</v>
      </c>
      <c r="E92" s="12">
        <v>0.0</v>
      </c>
      <c r="H92" s="3">
        <v>15.0</v>
      </c>
      <c r="I92" s="12">
        <v>0.0</v>
      </c>
      <c r="J92" s="12">
        <v>0.0</v>
      </c>
      <c r="K92" s="4">
        <v>0.0</v>
      </c>
      <c r="L92" s="12">
        <v>0.0</v>
      </c>
    </row>
    <row r="93" ht="15.75" customHeight="1">
      <c r="A93" s="3">
        <v>16.0</v>
      </c>
      <c r="B93" s="12">
        <v>5.395</v>
      </c>
      <c r="C93" s="12">
        <v>5.65</v>
      </c>
      <c r="D93" s="4">
        <v>0.0</v>
      </c>
      <c r="E93" s="12">
        <v>0.0</v>
      </c>
      <c r="H93" s="3">
        <v>16.0</v>
      </c>
      <c r="I93" s="12">
        <v>0.0</v>
      </c>
      <c r="J93" s="12">
        <v>0.0</v>
      </c>
      <c r="K93" s="4">
        <v>0.0</v>
      </c>
      <c r="L93" s="12">
        <v>0.0</v>
      </c>
    </row>
    <row r="94" ht="15.75" customHeight="1">
      <c r="A94" s="3">
        <v>17.0</v>
      </c>
      <c r="B94" s="12">
        <v>5.65</v>
      </c>
      <c r="C94" s="12">
        <v>5.905</v>
      </c>
      <c r="D94" s="4">
        <v>1.0</v>
      </c>
      <c r="E94" s="12">
        <v>0.05</v>
      </c>
      <c r="H94" s="3">
        <v>17.0</v>
      </c>
      <c r="I94" s="12">
        <v>0.0</v>
      </c>
      <c r="J94" s="12">
        <v>0.0</v>
      </c>
      <c r="K94" s="4">
        <v>0.0</v>
      </c>
      <c r="L94" s="12">
        <v>0.0</v>
      </c>
    </row>
    <row r="95" ht="15.75" customHeight="1">
      <c r="A95" s="3">
        <v>18.0</v>
      </c>
      <c r="B95" s="12">
        <v>5.905</v>
      </c>
      <c r="C95" s="12">
        <v>6.16</v>
      </c>
      <c r="D95" s="4">
        <v>0.0</v>
      </c>
      <c r="E95" s="12">
        <v>0.0</v>
      </c>
      <c r="H95" s="3">
        <v>18.0</v>
      </c>
      <c r="I95" s="12">
        <v>0.0</v>
      </c>
      <c r="J95" s="12">
        <v>0.0</v>
      </c>
      <c r="K95" s="4">
        <v>0.0</v>
      </c>
      <c r="L95" s="12">
        <v>0.0</v>
      </c>
    </row>
    <row r="96" ht="15.75" customHeight="1">
      <c r="A96" s="3">
        <v>19.0</v>
      </c>
      <c r="B96" s="12">
        <v>6.16</v>
      </c>
      <c r="C96" s="12">
        <v>6.415</v>
      </c>
      <c r="D96" s="4">
        <v>1.0</v>
      </c>
      <c r="E96" s="12">
        <v>0.05</v>
      </c>
      <c r="H96" s="3">
        <v>19.0</v>
      </c>
      <c r="I96" s="12">
        <v>0.0</v>
      </c>
      <c r="J96" s="12">
        <v>0.0</v>
      </c>
      <c r="K96" s="4">
        <v>0.0</v>
      </c>
      <c r="L96" s="12">
        <v>0.0</v>
      </c>
    </row>
    <row r="97" ht="15.75" customHeight="1">
      <c r="A97" s="3">
        <v>20.0</v>
      </c>
      <c r="B97" s="12">
        <v>6.415</v>
      </c>
      <c r="C97" s="12">
        <v>6.67</v>
      </c>
      <c r="D97" s="4">
        <v>0.0</v>
      </c>
      <c r="E97" s="12">
        <v>0.0</v>
      </c>
      <c r="H97" s="3">
        <v>20.0</v>
      </c>
      <c r="I97" s="12">
        <v>0.0</v>
      </c>
      <c r="J97" s="12">
        <v>0.0</v>
      </c>
      <c r="K97" s="4">
        <v>0.0</v>
      </c>
      <c r="L97" s="12">
        <v>0.0</v>
      </c>
    </row>
    <row r="98" ht="15.75" customHeight="1">
      <c r="A98" s="3">
        <v>21.0</v>
      </c>
      <c r="B98" s="12">
        <v>6.67</v>
      </c>
      <c r="C98" s="12">
        <v>6.925</v>
      </c>
      <c r="D98" s="4">
        <v>0.0</v>
      </c>
      <c r="E98" s="12">
        <v>0.0</v>
      </c>
      <c r="H98" s="3">
        <v>21.0</v>
      </c>
      <c r="I98" s="12">
        <v>0.0</v>
      </c>
      <c r="J98" s="12">
        <v>0.0</v>
      </c>
      <c r="K98" s="4">
        <v>0.0</v>
      </c>
      <c r="L98" s="12">
        <v>0.0</v>
      </c>
    </row>
    <row r="99" ht="15.75" customHeight="1">
      <c r="A99" s="3">
        <v>22.0</v>
      </c>
      <c r="B99" s="12">
        <v>6.925</v>
      </c>
      <c r="C99" s="12">
        <v>7.18</v>
      </c>
      <c r="D99" s="4">
        <v>0.0</v>
      </c>
      <c r="E99" s="12">
        <v>0.0</v>
      </c>
      <c r="H99" s="3">
        <v>22.0</v>
      </c>
      <c r="I99" s="12">
        <v>0.0</v>
      </c>
      <c r="J99" s="12">
        <v>0.0</v>
      </c>
      <c r="K99" s="4">
        <v>0.0</v>
      </c>
      <c r="L99" s="12">
        <v>0.0</v>
      </c>
    </row>
    <row r="100" ht="15.75" customHeight="1">
      <c r="A100" s="3">
        <v>23.0</v>
      </c>
      <c r="B100" s="12">
        <v>7.18</v>
      </c>
      <c r="C100" s="12">
        <v>7.435</v>
      </c>
      <c r="D100" s="4">
        <v>0.0</v>
      </c>
      <c r="E100" s="12">
        <v>0.0</v>
      </c>
      <c r="H100" s="3">
        <v>23.0</v>
      </c>
      <c r="I100" s="12">
        <v>0.0</v>
      </c>
      <c r="J100" s="12">
        <v>0.0</v>
      </c>
      <c r="K100" s="4">
        <v>0.0</v>
      </c>
      <c r="L100" s="12">
        <v>0.0</v>
      </c>
    </row>
    <row r="101" ht="15.75" customHeight="1">
      <c r="A101" s="3">
        <v>24.0</v>
      </c>
      <c r="B101" s="12">
        <v>7.435</v>
      </c>
      <c r="C101" s="12">
        <v>7.69</v>
      </c>
      <c r="D101" s="4">
        <v>0.0</v>
      </c>
      <c r="E101" s="12">
        <v>0.0</v>
      </c>
      <c r="H101" s="3">
        <v>24.0</v>
      </c>
      <c r="I101" s="12">
        <v>0.0</v>
      </c>
      <c r="J101" s="12">
        <v>0.0</v>
      </c>
      <c r="K101" s="4">
        <v>0.0</v>
      </c>
      <c r="L101" s="12">
        <v>0.0</v>
      </c>
    </row>
    <row r="102" ht="15.75" customHeight="1">
      <c r="A102" s="3">
        <v>25.0</v>
      </c>
      <c r="B102" s="12">
        <v>7.69</v>
      </c>
      <c r="C102" s="12">
        <v>7.945</v>
      </c>
      <c r="D102" s="4">
        <v>1.0</v>
      </c>
      <c r="E102" s="12">
        <v>0.05</v>
      </c>
      <c r="H102" s="3">
        <v>25.0</v>
      </c>
      <c r="I102" s="12">
        <v>0.0</v>
      </c>
      <c r="J102" s="12">
        <v>0.0</v>
      </c>
      <c r="K102" s="4">
        <v>0.0</v>
      </c>
      <c r="L102" s="12">
        <v>0.0</v>
      </c>
    </row>
    <row r="103" ht="15.75" customHeight="1">
      <c r="A103" s="3">
        <v>26.0</v>
      </c>
      <c r="B103" s="12">
        <v>7.945</v>
      </c>
      <c r="C103" s="12">
        <v>8.2</v>
      </c>
      <c r="D103" s="4">
        <v>1.0</v>
      </c>
      <c r="E103" s="12">
        <v>0.05</v>
      </c>
      <c r="H103" s="3">
        <v>26.0</v>
      </c>
      <c r="I103" s="12">
        <v>0.0</v>
      </c>
      <c r="J103" s="12">
        <v>0.0</v>
      </c>
      <c r="K103" s="4">
        <v>0.0</v>
      </c>
      <c r="L103" s="12">
        <v>0.0</v>
      </c>
    </row>
    <row r="104" ht="15.75" customHeight="1">
      <c r="A104" s="3">
        <v>27.0</v>
      </c>
      <c r="B104" s="12">
        <v>8.2</v>
      </c>
      <c r="C104" s="12">
        <v>8.455</v>
      </c>
      <c r="D104" s="4">
        <v>1.0</v>
      </c>
      <c r="E104" s="12">
        <v>0.05</v>
      </c>
      <c r="H104" s="3">
        <v>27.0</v>
      </c>
      <c r="I104" s="12">
        <v>0.0</v>
      </c>
      <c r="J104" s="12">
        <v>0.0</v>
      </c>
      <c r="K104" s="4">
        <v>0.0</v>
      </c>
      <c r="L104" s="12">
        <v>0.0</v>
      </c>
    </row>
    <row r="105" ht="15.75" customHeight="1">
      <c r="A105" s="3">
        <v>28.0</v>
      </c>
      <c r="B105" s="12">
        <v>8.455</v>
      </c>
      <c r="C105" s="12">
        <v>8.71</v>
      </c>
      <c r="D105" s="4">
        <v>0.0</v>
      </c>
      <c r="E105" s="12">
        <v>0.0</v>
      </c>
      <c r="H105" s="3">
        <v>28.0</v>
      </c>
      <c r="I105" s="12">
        <v>0.0</v>
      </c>
      <c r="J105" s="12">
        <v>0.0</v>
      </c>
      <c r="K105" s="4">
        <v>0.0</v>
      </c>
      <c r="L105" s="12">
        <v>0.0</v>
      </c>
    </row>
    <row r="106" ht="15.75" customHeight="1">
      <c r="A106" s="3">
        <v>29.0</v>
      </c>
      <c r="B106" s="12">
        <v>8.71</v>
      </c>
      <c r="C106" s="12">
        <v>8.965</v>
      </c>
      <c r="D106" s="4">
        <v>0.0</v>
      </c>
      <c r="E106" s="12">
        <v>0.0</v>
      </c>
      <c r="H106" s="3">
        <v>29.0</v>
      </c>
      <c r="I106" s="12">
        <v>0.0</v>
      </c>
      <c r="J106" s="12">
        <v>0.0</v>
      </c>
      <c r="K106" s="4">
        <v>0.0</v>
      </c>
      <c r="L106" s="12">
        <v>0.0</v>
      </c>
    </row>
    <row r="107" ht="15.75" customHeight="1">
      <c r="A107" s="3">
        <v>30.0</v>
      </c>
      <c r="B107" s="12">
        <v>8.965</v>
      </c>
      <c r="C107" s="12">
        <v>9.22</v>
      </c>
      <c r="D107" s="4">
        <v>1.0</v>
      </c>
      <c r="E107" s="12">
        <v>0.05</v>
      </c>
      <c r="H107" s="3">
        <v>30.0</v>
      </c>
      <c r="I107" s="12">
        <v>0.0</v>
      </c>
      <c r="J107" s="12">
        <v>0.0</v>
      </c>
      <c r="K107" s="4">
        <v>0.0</v>
      </c>
      <c r="L107" s="12">
        <v>0.0</v>
      </c>
    </row>
    <row r="108" ht="15.75" customHeight="1">
      <c r="A108" s="3">
        <v>31.0</v>
      </c>
      <c r="B108" s="12">
        <v>9.22</v>
      </c>
      <c r="C108" s="12">
        <v>9.475</v>
      </c>
      <c r="D108" s="4">
        <v>0.0</v>
      </c>
      <c r="E108" s="12">
        <v>0.0</v>
      </c>
      <c r="H108" s="3">
        <v>31.0</v>
      </c>
      <c r="I108" s="12">
        <v>0.0</v>
      </c>
      <c r="J108" s="12">
        <v>0.0</v>
      </c>
      <c r="K108" s="4">
        <v>0.0</v>
      </c>
      <c r="L108" s="12">
        <v>0.0</v>
      </c>
    </row>
    <row r="109" ht="15.75" customHeight="1">
      <c r="A109" s="3">
        <v>32.0</v>
      </c>
      <c r="B109" s="12">
        <v>9.475</v>
      </c>
      <c r="C109" s="12">
        <v>9.73</v>
      </c>
      <c r="D109" s="4">
        <v>0.0</v>
      </c>
      <c r="E109" s="12">
        <v>0.0</v>
      </c>
      <c r="H109" s="3">
        <v>32.0</v>
      </c>
      <c r="I109" s="12">
        <v>0.0</v>
      </c>
      <c r="J109" s="12">
        <v>0.0</v>
      </c>
      <c r="K109" s="4">
        <v>0.0</v>
      </c>
      <c r="L109" s="12">
        <v>0.0</v>
      </c>
    </row>
    <row r="110" ht="15.75" customHeight="1">
      <c r="A110" s="3">
        <v>33.0</v>
      </c>
      <c r="B110" s="12">
        <v>9.73</v>
      </c>
      <c r="C110" s="12">
        <v>9.985</v>
      </c>
      <c r="D110" s="4">
        <v>0.0</v>
      </c>
      <c r="E110" s="12">
        <v>0.0</v>
      </c>
      <c r="H110" s="3">
        <v>33.0</v>
      </c>
      <c r="I110" s="12">
        <v>0.0</v>
      </c>
      <c r="J110" s="12">
        <v>0.0</v>
      </c>
      <c r="K110" s="4">
        <v>0.0</v>
      </c>
      <c r="L110" s="12">
        <v>0.0</v>
      </c>
    </row>
    <row r="111" ht="15.75" customHeight="1">
      <c r="A111" s="3">
        <v>34.0</v>
      </c>
      <c r="B111" s="12">
        <v>9.985</v>
      </c>
      <c r="C111" s="12">
        <v>10.24</v>
      </c>
      <c r="D111" s="4">
        <v>0.0</v>
      </c>
      <c r="E111" s="12">
        <v>0.0</v>
      </c>
      <c r="H111" s="3">
        <v>34.0</v>
      </c>
      <c r="I111" s="12">
        <v>0.0</v>
      </c>
      <c r="J111" s="12">
        <v>0.0</v>
      </c>
      <c r="K111" s="4">
        <v>0.0</v>
      </c>
      <c r="L111" s="12">
        <v>0.0</v>
      </c>
    </row>
    <row r="112" ht="15.75" customHeight="1">
      <c r="A112" s="3">
        <v>35.0</v>
      </c>
      <c r="B112" s="12">
        <v>10.24</v>
      </c>
      <c r="C112" s="12">
        <v>10.495</v>
      </c>
      <c r="D112" s="4">
        <v>1.0</v>
      </c>
      <c r="E112" s="12">
        <v>0.05</v>
      </c>
      <c r="H112" s="3">
        <v>35.0</v>
      </c>
      <c r="I112" s="12">
        <v>0.0</v>
      </c>
      <c r="J112" s="12">
        <v>0.0</v>
      </c>
      <c r="K112" s="4">
        <v>0.0</v>
      </c>
      <c r="L112" s="12">
        <v>0.0</v>
      </c>
    </row>
    <row r="113" ht="15.75" customHeight="1">
      <c r="A113" s="3">
        <v>36.0</v>
      </c>
      <c r="B113" s="12">
        <v>10.495</v>
      </c>
      <c r="C113" s="12">
        <v>10.75</v>
      </c>
      <c r="D113" s="4">
        <v>0.0</v>
      </c>
      <c r="E113" s="12">
        <v>0.0</v>
      </c>
      <c r="H113" s="3">
        <v>36.0</v>
      </c>
      <c r="I113" s="12">
        <v>0.0</v>
      </c>
      <c r="J113" s="12">
        <v>0.0</v>
      </c>
      <c r="K113" s="4">
        <v>0.0</v>
      </c>
      <c r="L113" s="12">
        <v>0.0</v>
      </c>
    </row>
    <row r="114" ht="15.75" customHeight="1">
      <c r="A114" s="3">
        <v>37.0</v>
      </c>
      <c r="B114" s="12">
        <v>10.75</v>
      </c>
      <c r="C114" s="12">
        <v>11.005</v>
      </c>
      <c r="D114" s="4">
        <v>0.0</v>
      </c>
      <c r="E114" s="12">
        <v>0.0</v>
      </c>
      <c r="H114" s="3">
        <v>37.0</v>
      </c>
      <c r="I114" s="12">
        <v>0.0</v>
      </c>
      <c r="J114" s="12">
        <v>0.0</v>
      </c>
      <c r="K114" s="4">
        <v>0.0</v>
      </c>
      <c r="L114" s="12">
        <v>0.0</v>
      </c>
    </row>
    <row r="115" ht="15.75" customHeight="1">
      <c r="A115" s="3">
        <v>38.0</v>
      </c>
      <c r="B115" s="12">
        <v>11.005</v>
      </c>
      <c r="C115" s="12">
        <v>11.26</v>
      </c>
      <c r="D115" s="4">
        <v>0.0</v>
      </c>
      <c r="E115" s="12">
        <v>0.0</v>
      </c>
      <c r="H115" s="3">
        <v>38.0</v>
      </c>
      <c r="I115" s="12">
        <v>0.0</v>
      </c>
      <c r="J115" s="12">
        <v>0.0</v>
      </c>
      <c r="K115" s="4">
        <v>0.0</v>
      </c>
      <c r="L115" s="12">
        <v>0.0</v>
      </c>
    </row>
    <row r="116" ht="15.75" customHeight="1">
      <c r="A116" s="3">
        <v>39.0</v>
      </c>
      <c r="B116" s="12">
        <v>11.26</v>
      </c>
      <c r="C116" s="12">
        <v>11.515</v>
      </c>
      <c r="D116" s="4">
        <v>1.0</v>
      </c>
      <c r="E116" s="12">
        <v>0.05</v>
      </c>
      <c r="H116" s="3">
        <v>39.0</v>
      </c>
      <c r="I116" s="12">
        <v>0.0</v>
      </c>
      <c r="J116" s="12">
        <v>0.0</v>
      </c>
      <c r="K116" s="4">
        <v>0.0</v>
      </c>
      <c r="L116" s="12">
        <v>0.0</v>
      </c>
    </row>
    <row r="117" ht="15.75" customHeight="1">
      <c r="A117" s="3">
        <v>40.0</v>
      </c>
      <c r="B117" s="12">
        <v>11.515</v>
      </c>
      <c r="C117" s="12">
        <v>11.77</v>
      </c>
      <c r="D117" s="4">
        <v>0.0</v>
      </c>
      <c r="E117" s="12">
        <v>0.0</v>
      </c>
      <c r="H117" s="3">
        <v>40.0</v>
      </c>
      <c r="I117" s="12">
        <v>0.0</v>
      </c>
      <c r="J117" s="12">
        <v>0.0</v>
      </c>
      <c r="K117" s="4">
        <v>0.0</v>
      </c>
      <c r="L117" s="12">
        <v>0.0</v>
      </c>
    </row>
    <row r="118" ht="15.75" customHeight="1">
      <c r="A118" s="3">
        <v>41.0</v>
      </c>
      <c r="B118" s="12">
        <v>11.77</v>
      </c>
      <c r="C118" s="12">
        <v>12.025</v>
      </c>
      <c r="D118" s="4">
        <v>0.0</v>
      </c>
      <c r="E118" s="12">
        <v>0.0</v>
      </c>
      <c r="H118" s="3">
        <v>41.0</v>
      </c>
      <c r="I118" s="12">
        <v>0.0</v>
      </c>
      <c r="J118" s="12">
        <v>0.0</v>
      </c>
      <c r="K118" s="4">
        <v>0.0</v>
      </c>
      <c r="L118" s="12">
        <v>0.0</v>
      </c>
    </row>
    <row r="119" ht="15.75" customHeight="1">
      <c r="A119" s="3">
        <v>42.0</v>
      </c>
      <c r="B119" s="12">
        <v>12.025</v>
      </c>
      <c r="C119" s="12">
        <v>12.28</v>
      </c>
      <c r="D119" s="4">
        <v>0.0</v>
      </c>
      <c r="E119" s="12">
        <v>0.0</v>
      </c>
      <c r="H119" s="3">
        <v>42.0</v>
      </c>
      <c r="I119" s="12">
        <v>0.0</v>
      </c>
      <c r="J119" s="12">
        <v>0.0</v>
      </c>
      <c r="K119" s="4">
        <v>0.0</v>
      </c>
      <c r="L119" s="12">
        <v>0.0</v>
      </c>
    </row>
    <row r="120" ht="15.75" customHeight="1">
      <c r="A120" s="3">
        <v>43.0</v>
      </c>
      <c r="B120" s="12">
        <v>12.28</v>
      </c>
      <c r="C120" s="12">
        <v>12.535</v>
      </c>
      <c r="D120" s="4">
        <v>1.0</v>
      </c>
      <c r="E120" s="12">
        <v>0.05</v>
      </c>
      <c r="H120" s="3">
        <v>43.0</v>
      </c>
      <c r="I120" s="12">
        <v>0.0</v>
      </c>
      <c r="J120" s="12">
        <v>0.0</v>
      </c>
      <c r="K120" s="4">
        <v>0.0</v>
      </c>
      <c r="L120" s="12">
        <v>0.0</v>
      </c>
    </row>
    <row r="121" ht="15.75" customHeight="1">
      <c r="A121" s="3">
        <v>44.0</v>
      </c>
      <c r="B121" s="12">
        <v>12.535</v>
      </c>
      <c r="C121" s="12">
        <v>12.79</v>
      </c>
      <c r="D121" s="4">
        <v>0.0</v>
      </c>
      <c r="E121" s="12">
        <v>0.0</v>
      </c>
      <c r="H121" s="3">
        <v>44.0</v>
      </c>
      <c r="I121" s="12">
        <v>0.0</v>
      </c>
      <c r="J121" s="12">
        <v>0.0</v>
      </c>
      <c r="K121" s="4">
        <v>0.0</v>
      </c>
      <c r="L121" s="12">
        <v>0.0</v>
      </c>
    </row>
    <row r="122" ht="15.75" customHeight="1">
      <c r="A122" s="3">
        <v>45.0</v>
      </c>
      <c r="B122" s="12">
        <v>12.79</v>
      </c>
      <c r="C122" s="12">
        <v>13.045</v>
      </c>
      <c r="D122" s="4">
        <v>1.0</v>
      </c>
      <c r="E122" s="12">
        <v>0.05</v>
      </c>
      <c r="H122" s="3">
        <v>45.0</v>
      </c>
      <c r="I122" s="12">
        <v>0.0</v>
      </c>
      <c r="J122" s="12">
        <v>0.0</v>
      </c>
      <c r="K122" s="4">
        <v>0.0</v>
      </c>
      <c r="L122" s="12">
        <v>0.0</v>
      </c>
    </row>
    <row r="123" ht="15.75" customHeight="1">
      <c r="A123" s="3">
        <v>46.0</v>
      </c>
      <c r="B123" s="12">
        <v>13.045</v>
      </c>
      <c r="C123" s="12">
        <v>13.3</v>
      </c>
      <c r="D123" s="4">
        <v>0.0</v>
      </c>
      <c r="E123" s="12">
        <v>0.0</v>
      </c>
      <c r="H123" s="3">
        <v>46.0</v>
      </c>
      <c r="I123" s="12">
        <v>0.0</v>
      </c>
      <c r="J123" s="12">
        <v>0.0</v>
      </c>
      <c r="K123" s="4">
        <v>0.0</v>
      </c>
      <c r="L123" s="12">
        <v>0.0</v>
      </c>
    </row>
    <row r="124" ht="15.75" customHeight="1">
      <c r="A124" s="3">
        <v>47.0</v>
      </c>
      <c r="B124" s="12">
        <v>13.3</v>
      </c>
      <c r="C124" s="12">
        <v>13.555</v>
      </c>
      <c r="D124" s="4">
        <v>0.0</v>
      </c>
      <c r="E124" s="12">
        <v>0.0</v>
      </c>
      <c r="H124" s="3">
        <v>47.0</v>
      </c>
      <c r="I124" s="12">
        <v>0.0</v>
      </c>
      <c r="J124" s="12">
        <v>0.0</v>
      </c>
      <c r="K124" s="4">
        <v>0.0</v>
      </c>
      <c r="L124" s="12">
        <v>0.0</v>
      </c>
    </row>
    <row r="125" ht="15.75" customHeight="1">
      <c r="A125" s="3">
        <v>48.0</v>
      </c>
      <c r="B125" s="12">
        <v>13.555</v>
      </c>
      <c r="C125" s="12">
        <v>13.81</v>
      </c>
      <c r="D125" s="4">
        <v>0.0</v>
      </c>
      <c r="E125" s="12">
        <v>0.0</v>
      </c>
      <c r="H125" s="3">
        <v>48.0</v>
      </c>
      <c r="I125" s="12">
        <v>0.0</v>
      </c>
      <c r="J125" s="12">
        <v>0.0</v>
      </c>
      <c r="K125" s="4">
        <v>0.0</v>
      </c>
      <c r="L125" s="12">
        <v>0.0</v>
      </c>
    </row>
    <row r="126" ht="15.75" customHeight="1">
      <c r="A126" s="3">
        <v>49.0</v>
      </c>
      <c r="B126" s="12">
        <v>13.81</v>
      </c>
      <c r="C126" s="12">
        <v>14.065</v>
      </c>
      <c r="D126" s="4">
        <v>0.0</v>
      </c>
      <c r="E126" s="12">
        <v>0.0</v>
      </c>
      <c r="H126" s="3">
        <v>49.0</v>
      </c>
      <c r="I126" s="12">
        <v>0.0</v>
      </c>
      <c r="J126" s="12">
        <v>0.0</v>
      </c>
      <c r="K126" s="4">
        <v>0.0</v>
      </c>
      <c r="L126" s="12">
        <v>0.0</v>
      </c>
    </row>
    <row r="127" ht="15.75" customHeight="1">
      <c r="A127" s="3">
        <v>50.0</v>
      </c>
      <c r="B127" s="12">
        <v>14.065</v>
      </c>
      <c r="C127" s="12">
        <v>14.32</v>
      </c>
      <c r="D127" s="4">
        <v>1.0</v>
      </c>
      <c r="E127" s="12">
        <v>0.05</v>
      </c>
      <c r="H127" s="3">
        <v>50.0</v>
      </c>
      <c r="I127" s="12">
        <v>0.0</v>
      </c>
      <c r="J127" s="12">
        <v>0.0</v>
      </c>
      <c r="K127" s="4">
        <v>0.0</v>
      </c>
      <c r="L127" s="12">
        <v>0.0</v>
      </c>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6">
    <mergeCell ref="A1:F1"/>
    <mergeCell ref="A4:E4"/>
    <mergeCell ref="H4:L4"/>
    <mergeCell ref="O4:S4"/>
    <mergeCell ref="A76:E76"/>
    <mergeCell ref="H76:L7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71"/>
    <col customWidth="1" min="2" max="2" width="95.71"/>
    <col customWidth="1" min="3" max="26" width="8.71"/>
  </cols>
  <sheetData>
    <row r="1">
      <c r="A1" s="1" t="s">
        <v>38</v>
      </c>
    </row>
    <row r="2">
      <c r="A2" s="7" t="s">
        <v>39</v>
      </c>
    </row>
    <row r="4">
      <c r="A4" s="13" t="s">
        <v>40</v>
      </c>
      <c r="B4" s="10"/>
    </row>
    <row r="5" ht="75.0" customHeight="1">
      <c r="A5" s="14" t="s">
        <v>41</v>
      </c>
      <c r="B5" s="15" t="s">
        <v>42</v>
      </c>
    </row>
    <row r="6" ht="75.0" customHeight="1">
      <c r="A6" s="14" t="s">
        <v>43</v>
      </c>
      <c r="B6" s="15" t="s">
        <v>44</v>
      </c>
    </row>
    <row r="7" ht="75.0" customHeight="1">
      <c r="A7" s="14" t="s">
        <v>45</v>
      </c>
      <c r="B7" s="15" t="s">
        <v>46</v>
      </c>
    </row>
    <row r="8" ht="75.0" customHeight="1">
      <c r="A8" s="14" t="s">
        <v>47</v>
      </c>
      <c r="B8" s="15" t="s">
        <v>48</v>
      </c>
    </row>
    <row r="10">
      <c r="A10" s="13" t="s">
        <v>49</v>
      </c>
      <c r="B10" s="10"/>
    </row>
    <row r="11" ht="75.0" customHeight="1">
      <c r="A11" s="14" t="s">
        <v>41</v>
      </c>
      <c r="B11" s="15" t="s">
        <v>50</v>
      </c>
    </row>
    <row r="12" ht="75.0" customHeight="1">
      <c r="A12" s="14" t="s">
        <v>43</v>
      </c>
      <c r="B12" s="15" t="s">
        <v>51</v>
      </c>
    </row>
    <row r="13" ht="75.0" customHeight="1">
      <c r="A13" s="14" t="s">
        <v>45</v>
      </c>
      <c r="B13" s="15" t="s">
        <v>52</v>
      </c>
    </row>
    <row r="14" ht="75.0" customHeight="1">
      <c r="A14" s="14" t="s">
        <v>47</v>
      </c>
      <c r="B14" s="15" t="s">
        <v>53</v>
      </c>
    </row>
    <row r="16">
      <c r="A16" s="13" t="s">
        <v>54</v>
      </c>
      <c r="B16" s="10"/>
    </row>
    <row r="17" ht="75.0" customHeight="1">
      <c r="A17" s="14" t="s">
        <v>41</v>
      </c>
      <c r="B17" s="15" t="s">
        <v>55</v>
      </c>
    </row>
    <row r="18" ht="75.0" customHeight="1">
      <c r="A18" s="14" t="s">
        <v>43</v>
      </c>
      <c r="B18" s="15" t="s">
        <v>56</v>
      </c>
    </row>
    <row r="19" ht="75.0" customHeight="1">
      <c r="A19" s="14" t="s">
        <v>45</v>
      </c>
      <c r="B19" s="15" t="s">
        <v>57</v>
      </c>
    </row>
    <row r="20" ht="75.0" customHeight="1">
      <c r="A20" s="14" t="s">
        <v>47</v>
      </c>
      <c r="B20" s="15" t="s">
        <v>58</v>
      </c>
    </row>
    <row r="21" ht="15.75" customHeight="1"/>
    <row r="22" ht="15.75" customHeight="1">
      <c r="A22" s="13" t="s">
        <v>59</v>
      </c>
      <c r="B22" s="10"/>
    </row>
    <row r="23" ht="75.0" customHeight="1">
      <c r="A23" s="14" t="s">
        <v>41</v>
      </c>
      <c r="B23" s="15" t="s">
        <v>60</v>
      </c>
    </row>
    <row r="24" ht="75.0" customHeight="1">
      <c r="A24" s="14" t="s">
        <v>43</v>
      </c>
      <c r="B24" s="15" t="s">
        <v>61</v>
      </c>
    </row>
    <row r="25" ht="75.0" customHeight="1">
      <c r="A25" s="14" t="s">
        <v>45</v>
      </c>
      <c r="B25" s="15" t="s">
        <v>62</v>
      </c>
    </row>
    <row r="26" ht="75.0" customHeight="1">
      <c r="A26" s="14" t="s">
        <v>47</v>
      </c>
      <c r="B26" s="15" t="s">
        <v>63</v>
      </c>
    </row>
    <row r="27" ht="15.75" customHeight="1"/>
    <row r="28" ht="15.75" customHeight="1">
      <c r="A28" s="13" t="s">
        <v>64</v>
      </c>
      <c r="B28" s="10"/>
    </row>
    <row r="29" ht="75.0" customHeight="1">
      <c r="A29" s="14" t="s">
        <v>41</v>
      </c>
      <c r="B29" s="15" t="s">
        <v>65</v>
      </c>
    </row>
    <row r="30" ht="75.0" customHeight="1">
      <c r="A30" s="14" t="s">
        <v>43</v>
      </c>
      <c r="B30" s="15" t="s">
        <v>66</v>
      </c>
    </row>
    <row r="31" ht="75.0" customHeight="1">
      <c r="A31" s="14" t="s">
        <v>45</v>
      </c>
      <c r="B31" s="15" t="s">
        <v>67</v>
      </c>
    </row>
    <row r="32" ht="75.0" customHeight="1">
      <c r="A32" s="14" t="s">
        <v>47</v>
      </c>
      <c r="B32" s="15" t="s">
        <v>68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B1"/>
    <mergeCell ref="A4:B4"/>
    <mergeCell ref="A10:B10"/>
    <mergeCell ref="A16:B16"/>
    <mergeCell ref="A22:B22"/>
    <mergeCell ref="A28:B2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2026-02-28T02:04:22Z</dcterms:created>
</cp:coreProperties>
</file>